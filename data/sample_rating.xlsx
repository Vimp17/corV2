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йтинг" sheetId="1" state="visible" r:id="rId3"/>
    <sheet name="График ППР" sheetId="2" state="visible" r:id="rId4"/>
    <sheet name="Сводка" sheetId="3" state="visible" r:id="rId5"/>
    <sheet name="Справочник полей" sheetId="4" state="visible" r:id="rId6"/>
    <sheet name="Параметры" sheetId="5" state="visible" r:id="rId7"/>
  </sheets>
  <definedNames>
    <definedName function="false" hidden="true" localSheetId="0" name="_xlnm._FilterDatabase" vbProcedure="false">Рейтинг!$A$4:$X$28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Тоннаж (поле из требования). Единицы (т) — допущение, уточнить.</t>
        </r>
      </text>
    </comment>
    <comment ref="I4" authorId="0">
      <text>
        <r>
          <rPr>
            <sz val="10"/>
            <rFont val="Arial"/>
            <family val="2"/>
          </rPr>
          <t xml:space="preserve">НОО — поле из требования; расшифровку и единицы (здесь сутки) уточнить.</t>
        </r>
      </text>
    </comment>
    <comment ref="K4" authorId="0">
      <text>
        <r>
          <rPr>
            <sz val="10"/>
            <rFont val="Arial"/>
            <family val="2"/>
          </rPr>
          <t xml:space="preserve">Признак коррозии при демонтаже. «—», если акта демонтажа нет.</t>
        </r>
      </text>
    </comment>
    <comment ref="M4" authorId="0">
      <text>
        <r>
          <rPr>
            <sz val="10"/>
            <rFont val="Arial"/>
            <family val="2"/>
          </rPr>
          <t xml:space="preserve">Заполняется, только если есть акт разбора на базе.</t>
        </r>
      </text>
    </comment>
    <comment ref="Q4" authorId="0">
      <text>
        <r>
          <rPr>
            <sz val="10"/>
            <rFont val="Arial"/>
            <family val="2"/>
          </rPr>
          <t xml:space="preserve">=ОКРУГЛ(Максимум или Среднее(НТЦ; Мат.) × 100). Способ — на листе «Параметры».</t>
        </r>
      </text>
    </comment>
    <comment ref="R4" authorId="0">
      <text>
        <r>
          <rPr>
            <sz val="10"/>
            <rFont val="Arial"/>
            <family val="2"/>
          </rPr>
          <t xml:space="preserve">По порогам с листа «Параметры»: 80+ плановый комплекс по ремонту и ЭРА, 61–79 решение инженера, 40–60 УД, ниже 40 мероприятия не требуются. При загрузке в систему пересчитывается.</t>
        </r>
      </text>
    </comment>
    <comment ref="T4" authorId="0">
      <text>
        <r>
          <rPr>
            <sz val="10"/>
            <rFont val="Arial"/>
            <family val="2"/>
          </rPr>
          <t xml:space="preserve">Только для скважин 80+: Промайн формирует документ на включение в ЭРА ремонта.</t>
        </r>
      </text>
    </comment>
    <comment ref="U4" authorId="0">
      <text>
        <r>
          <rPr>
            <sz val="10"/>
            <rFont val="Arial"/>
            <family val="2"/>
          </rPr>
          <t xml:space="preserve">Дата расчёта + срок мероприятия с листа «Параметры».</t>
        </r>
      </text>
    </comment>
    <comment ref="V4" authorId="0">
      <text>
        <r>
          <rPr>
            <sz val="10"/>
            <rFont val="Arial"/>
            <family val="2"/>
          </rPr>
          <t xml:space="preserve">Плановая дата мероприятия по графику ППР (ДДО). Ввод.</t>
        </r>
      </text>
    </comment>
  </commentList>
</comments>
</file>

<file path=xl/sharedStrings.xml><?xml version="1.0" encoding="utf-8"?>
<sst xmlns="http://schemas.openxmlformats.org/spreadsheetml/2006/main" count="564" uniqueCount="224">
  <si>
    <t xml:space="preserve">Рейтинг скважин по риску коррозии</t>
  </si>
  <si>
    <t xml:space="preserve">Синий текст на жёлтом — ввод (из источников или вручную), чёрный на голубом — формулы. Пример заполнен синтетическими данными. Строки отсортированы по индексу.</t>
  </si>
  <si>
    <t xml:space="preserve">Скважина</t>
  </si>
  <si>
    <t xml:space="preserve">Среда и обработка</t>
  </si>
  <si>
    <t xml:space="preserve">Демонтаж и разбор</t>
  </si>
  <si>
    <t xml:space="preserve">Оценка</t>
  </si>
  <si>
    <t xml:space="preserve">Решение и график ППР</t>
  </si>
  <si>
    <t xml:space="preserve">Место</t>
  </si>
  <si>
    <t xml:space="preserve">№ скважины</t>
  </si>
  <si>
    <t xml:space="preserve">Месторождение</t>
  </si>
  <si>
    <t xml:space="preserve">Спущенное оборудование</t>
  </si>
  <si>
    <t xml:space="preserve">Статус</t>
  </si>
  <si>
    <t xml:space="preserve">Отбор проб</t>
  </si>
  <si>
    <t xml:space="preserve">Среда</t>
  </si>
  <si>
    <t xml:space="preserve">Тоннаж, т</t>
  </si>
  <si>
    <t xml:space="preserve">НОО, сут</t>
  </si>
  <si>
    <t xml:space="preserve">Акт демонтажа</t>
  </si>
  <si>
    <t xml:space="preserve">Признак коррозии</t>
  </si>
  <si>
    <t xml:space="preserve">Акт разбора на базе</t>
  </si>
  <si>
    <t xml:space="preserve">Результат разбора</t>
  </si>
  <si>
    <t xml:space="preserve">Категория скважины</t>
  </si>
  <si>
    <t xml:space="preserve">Модель НТЦ (0–1)</t>
  </si>
  <si>
    <t xml:space="preserve">Мат. модель (0–1)</t>
  </si>
  <si>
    <t xml:space="preserve">Индекс приоритета (0–100)</t>
  </si>
  <si>
    <t xml:space="preserve">Мероприятие</t>
  </si>
  <si>
    <t xml:space="preserve">ЭРА ремонта</t>
  </si>
  <si>
    <t xml:space="preserve">Документ Промайн</t>
  </si>
  <si>
    <t xml:space="preserve">Крайний срок</t>
  </si>
  <si>
    <t xml:space="preserve">План ППР (ДДО)</t>
  </si>
  <si>
    <t xml:space="preserve">Статус плана</t>
  </si>
  <si>
    <t xml:space="preserve">Комментарий</t>
  </si>
  <si>
    <t xml:space="preserve">2215Б</t>
  </si>
  <si>
    <t xml:space="preserve">Озёрное</t>
  </si>
  <si>
    <t xml:space="preserve">УЭЦН-5-80, НКТ-73</t>
  </si>
  <si>
    <t xml:space="preserve">Не в работе</t>
  </si>
  <si>
    <t xml:space="preserve">Да</t>
  </si>
  <si>
    <t xml:space="preserve">Коррозионная</t>
  </si>
  <si>
    <t xml:space="preserve">Есть</t>
  </si>
  <si>
    <t xml:space="preserve">Коррозия есть</t>
  </si>
  <si>
    <t xml:space="preserve">Сформирован</t>
  </si>
  <si>
    <t xml:space="preserve">Язвенная коррозия НКТ по акту разбора</t>
  </si>
  <si>
    <t xml:space="preserve">1131</t>
  </si>
  <si>
    <t xml:space="preserve">Северное</t>
  </si>
  <si>
    <t xml:space="preserve">УЭЦН-5А-125, НКТ-73</t>
  </si>
  <si>
    <t xml:space="preserve">В работе</t>
  </si>
  <si>
    <t xml:space="preserve">Нет</t>
  </si>
  <si>
    <t xml:space="preserve">—</t>
  </si>
  <si>
    <t xml:space="preserve">Не сформирован</t>
  </si>
  <si>
    <t xml:space="preserve">3307</t>
  </si>
  <si>
    <t xml:space="preserve">Восточное</t>
  </si>
  <si>
    <t xml:space="preserve">УЭЦН-5-45, НКТ-60</t>
  </si>
  <si>
    <t xml:space="preserve">Модели расходятся: проверить пробы</t>
  </si>
  <si>
    <t xml:space="preserve">1046</t>
  </si>
  <si>
    <t xml:space="preserve">УШГН-57, НКТ-73</t>
  </si>
  <si>
    <t xml:space="preserve">Направлен в ЭРА</t>
  </si>
  <si>
    <t xml:space="preserve">Ждёт бригаду КРС</t>
  </si>
  <si>
    <t xml:space="preserve">2241</t>
  </si>
  <si>
    <t xml:space="preserve">Среднекоррозионная</t>
  </si>
  <si>
    <t xml:space="preserve">3312</t>
  </si>
  <si>
    <t xml:space="preserve">УЭЦН-5-60, НКТ-73</t>
  </si>
  <si>
    <t xml:space="preserve">1102</t>
  </si>
  <si>
    <t xml:space="preserve">Некоррозионная</t>
  </si>
  <si>
    <t xml:space="preserve">Нет свежих проб</t>
  </si>
  <si>
    <t xml:space="preserve">2208</t>
  </si>
  <si>
    <t xml:space="preserve">УШГН-44, НКТ-60</t>
  </si>
  <si>
    <t xml:space="preserve">3320</t>
  </si>
  <si>
    <t xml:space="preserve">Коррозии нет</t>
  </si>
  <si>
    <t xml:space="preserve">1158</t>
  </si>
  <si>
    <t xml:space="preserve">2219</t>
  </si>
  <si>
    <t xml:space="preserve">3301</t>
  </si>
  <si>
    <t xml:space="preserve">1077</t>
  </si>
  <si>
    <t xml:space="preserve">2230</t>
  </si>
  <si>
    <t xml:space="preserve">3315</t>
  </si>
  <si>
    <t xml:space="preserve">1119</t>
  </si>
  <si>
    <t xml:space="preserve">2244</t>
  </si>
  <si>
    <t xml:space="preserve">Остановлена по геологии</t>
  </si>
  <si>
    <t xml:space="preserve">3326</t>
  </si>
  <si>
    <t xml:space="preserve">1085</t>
  </si>
  <si>
    <t xml:space="preserve">2202</t>
  </si>
  <si>
    <t xml:space="preserve">3309</t>
  </si>
  <si>
    <t xml:space="preserve">1140</t>
  </si>
  <si>
    <t xml:space="preserve">2236</t>
  </si>
  <si>
    <t xml:space="preserve">3330</t>
  </si>
  <si>
    <t xml:space="preserve">Строк в примере: 24. Новые скважины добавляйте ниже, копируя последнюю строку (формулы в голубых ячейках протянутся вместе с ней) и расширяя диапазон рейтинга в колонке «Место».</t>
  </si>
  <si>
    <t xml:space="preserve">График ППР (ДДО) — мероприятия по рейтингу на 12 недель</t>
  </si>
  <si>
    <t xml:space="preserve">Код мероприятия стоит в неделе плановой даты; светлая заливка — окно от даты расчёта до крайнего срока. «!» — план позже срока. Неделя с датой расчёта выделена в заголовке.</t>
  </si>
  <si>
    <t xml:space="preserve">Нед. 1</t>
  </si>
  <si>
    <t xml:space="preserve">Нед. 2</t>
  </si>
  <si>
    <t xml:space="preserve">Нед. 3</t>
  </si>
  <si>
    <t xml:space="preserve">Нед. 4</t>
  </si>
  <si>
    <t xml:space="preserve">Нед. 5</t>
  </si>
  <si>
    <t xml:space="preserve">Нед. 6</t>
  </si>
  <si>
    <t xml:space="preserve">Нед. 7</t>
  </si>
  <si>
    <t xml:space="preserve">Нед. 8</t>
  </si>
  <si>
    <t xml:space="preserve">Нед. 9</t>
  </si>
  <si>
    <t xml:space="preserve">Нед. 10</t>
  </si>
  <si>
    <t xml:space="preserve">Нед. 11</t>
  </si>
  <si>
    <t xml:space="preserve">Нед. 12</t>
  </si>
  <si>
    <t xml:space="preserve">Индекс</t>
  </si>
  <si>
    <t xml:space="preserve">Код</t>
  </si>
  <si>
    <t xml:space="preserve">План (ДДО)</t>
  </si>
  <si>
    <t xml:space="preserve">Коды:</t>
  </si>
  <si>
    <t xml:space="preserve">ПКР</t>
  </si>
  <si>
    <t xml:space="preserve">плановый комплекс мероприятий по ремонту + включение в ЭРА ремонта (документ — Промайн)</t>
  </si>
  <si>
    <t xml:space="preserve">РИ</t>
  </si>
  <si>
    <t xml:space="preserve">решение инженера (диапазон 61–79, мероприятие уточнить)</t>
  </si>
  <si>
    <t xml:space="preserve">УД</t>
  </si>
  <si>
    <t xml:space="preserve">ударная дозировка</t>
  </si>
  <si>
    <t xml:space="preserve">!</t>
  </si>
  <si>
    <t xml:space="preserve">плановая дата позже крайнего срока</t>
  </si>
  <si>
    <t xml:space="preserve">Сводка по рейтингу</t>
  </si>
  <si>
    <t xml:space="preserve">Все значения считаются формулами по листу «Рейтинг».</t>
  </si>
  <si>
    <t xml:space="preserve">Скважин</t>
  </si>
  <si>
    <t xml:space="preserve">Всего в рейтинге</t>
  </si>
  <si>
    <t xml:space="preserve">Контроль исполнения</t>
  </si>
  <si>
    <t xml:space="preserve">Требуют включения в ЭРА ремонта</t>
  </si>
  <si>
    <t xml:space="preserve">…из них документ Промайн ещё не направлен</t>
  </si>
  <si>
    <t xml:space="preserve">План ППР позже крайнего срока</t>
  </si>
  <si>
    <t xml:space="preserve">Мероприятие назначено, но не запланировано</t>
  </si>
  <si>
    <t xml:space="preserve">Всего</t>
  </si>
  <si>
    <t xml:space="preserve">Сверка модели с фактом разбора на базе</t>
  </si>
  <si>
    <t xml:space="preserve">Индекс ≥ 61</t>
  </si>
  <si>
    <t xml:space="preserve">Индекс ≤ 60</t>
  </si>
  <si>
    <t xml:space="preserve">Коррозия есть при низком индексе или её нет при высоком — кандидаты на разбор расхождения модели.</t>
  </si>
  <si>
    <t xml:space="preserve">Справочник полей рейтинга</t>
  </si>
  <si>
    <t xml:space="preserve">Что хранится в каждом поле, как оно заполняется и где показывается на дашборде. «Источник» — предложение, сверить с фактическими системами.</t>
  </si>
  <si>
    <t xml:space="preserve">Поле</t>
  </si>
  <si>
    <t xml:space="preserve">Колонка</t>
  </si>
  <si>
    <t xml:space="preserve">Тип и значения</t>
  </si>
  <si>
    <t xml:space="preserve">Заполнение</t>
  </si>
  <si>
    <t xml:space="preserve">Источник (предложение)</t>
  </si>
  <si>
    <t xml:space="preserve">На дашборде</t>
  </si>
  <si>
    <t xml:space="preserve">A</t>
  </si>
  <si>
    <t xml:space="preserve">Целое; 1 — самый высокий индекс</t>
  </si>
  <si>
    <t xml:space="preserve">Формула</t>
  </si>
  <si>
    <t xml:space="preserve">Таблица</t>
  </si>
  <si>
    <t xml:space="preserve">B</t>
  </si>
  <si>
    <t xml:space="preserve">Текст, уникален в месторождении</t>
  </si>
  <si>
    <t xml:space="preserve">Ввод</t>
  </si>
  <si>
    <t xml:space="preserve">Паспорт скважины</t>
  </si>
  <si>
    <t xml:space="preserve">C</t>
  </si>
  <si>
    <t xml:space="preserve">Текст</t>
  </si>
  <si>
    <t xml:space="preserve">D</t>
  </si>
  <si>
    <t xml:space="preserve">Текст: тип насоса, НКТ</t>
  </si>
  <si>
    <t xml:space="preserve">Паспорт / ЭРА</t>
  </si>
  <si>
    <t xml:space="preserve">Карточка</t>
  </si>
  <si>
    <t xml:space="preserve">E</t>
  </si>
  <si>
    <t xml:space="preserve">В работе / Не в работе</t>
  </si>
  <si>
    <t xml:space="preserve">Телеметрия (DARS)</t>
  </si>
  <si>
    <t xml:space="preserve">Таблица (значок)</t>
  </si>
  <si>
    <t xml:space="preserve">F</t>
  </si>
  <si>
    <t xml:space="preserve">Да / Нет</t>
  </si>
  <si>
    <t xml:space="preserve">ХИМИК</t>
  </si>
  <si>
    <t xml:space="preserve">G</t>
  </si>
  <si>
    <t xml:space="preserve">Коррозионная / Некоррозионная</t>
  </si>
  <si>
    <t xml:space="preserve">Таблица (признаки)</t>
  </si>
  <si>
    <t xml:space="preserve">H</t>
  </si>
  <si>
    <t xml:space="preserve">Число ≥ 0, т (уточнить)</t>
  </si>
  <si>
    <t xml:space="preserve">Служба защиты</t>
  </si>
  <si>
    <t xml:space="preserve">I</t>
  </si>
  <si>
    <t xml:space="preserve">Число ≥ 0, сут (уточнить расшифровку)</t>
  </si>
  <si>
    <t xml:space="preserve">Уточнить</t>
  </si>
  <si>
    <t xml:space="preserve">J</t>
  </si>
  <si>
    <t xml:space="preserve">Есть / Нет</t>
  </si>
  <si>
    <t xml:space="preserve">ЭРА</t>
  </si>
  <si>
    <t xml:space="preserve">K</t>
  </si>
  <si>
    <t xml:space="preserve">Есть / Нет / — (нет акта)</t>
  </si>
  <si>
    <t xml:space="preserve">ЭРА (акт демонтажа)</t>
  </si>
  <si>
    <t xml:space="preserve">L</t>
  </si>
  <si>
    <t xml:space="preserve">M</t>
  </si>
  <si>
    <t xml:space="preserve">Коррозия есть / Коррозии нет / —</t>
  </si>
  <si>
    <t xml:space="preserve">ЭРА (акт разбора)</t>
  </si>
  <si>
    <t xml:space="preserve">N</t>
  </si>
  <si>
    <t xml:space="preserve">Некоррозионная / Среднекоррозионная / Коррозионная</t>
  </si>
  <si>
    <t xml:space="preserve">НТЦ</t>
  </si>
  <si>
    <t xml:space="preserve">O</t>
  </si>
  <si>
    <t xml:space="preserve">Число 0–1</t>
  </si>
  <si>
    <t xml:space="preserve">Модель</t>
  </si>
  <si>
    <t xml:space="preserve">Модель НТЦ</t>
  </si>
  <si>
    <t xml:space="preserve">Таблица (полоса)</t>
  </si>
  <si>
    <t xml:space="preserve">P</t>
  </si>
  <si>
    <t xml:space="preserve">Математическая модель</t>
  </si>
  <si>
    <t xml:space="preserve">Q</t>
  </si>
  <si>
    <t xml:space="preserve">Целое 0–100</t>
  </si>
  <si>
    <t xml:space="preserve">R</t>
  </si>
  <si>
    <t xml:space="preserve">Плановый комплекс по ремонту / Решение инженера / УД / Мероприятия не требуются</t>
  </si>
  <si>
    <t xml:space="preserve">Формула (в системе пересчитывается)</t>
  </si>
  <si>
    <t xml:space="preserve">S</t>
  </si>
  <si>
    <t xml:space="preserve">Включить / —</t>
  </si>
  <si>
    <t xml:space="preserve">T</t>
  </si>
  <si>
    <t xml:space="preserve">Не сформирован / Сформирован / Направлен в ЭРА / —</t>
  </si>
  <si>
    <t xml:space="preserve">Промайн</t>
  </si>
  <si>
    <t xml:space="preserve">U</t>
  </si>
  <si>
    <t xml:space="preserve">Дата</t>
  </si>
  <si>
    <t xml:space="preserve">Таблица, график ППР</t>
  </si>
  <si>
    <t xml:space="preserve">V</t>
  </si>
  <si>
    <t xml:space="preserve">График ППР (ДДО)</t>
  </si>
  <si>
    <t xml:space="preserve">W</t>
  </si>
  <si>
    <t xml:space="preserve">В срок / Позже срока / Не запланировано / —</t>
  </si>
  <si>
    <t xml:space="preserve">X</t>
  </si>
  <si>
    <t xml:space="preserve">Инженер</t>
  </si>
  <si>
    <t xml:space="preserve">Параметры рейтинга и графика ППР</t>
  </si>
  <si>
    <t xml:space="preserve">Синие значения на жёлтом фоне можно менять: рейтинг, мероприятия, сроки и график пересчитываются автоматически.</t>
  </si>
  <si>
    <t xml:space="preserve">Дата расчёта рейтинга</t>
  </si>
  <si>
    <t xml:space="preserve">От неё считаются крайние сроки мероприятий.</t>
  </si>
  <si>
    <t xml:space="preserve">Объединение моделей НТЦ и мат.</t>
  </si>
  <si>
    <t xml:space="preserve">Максимум</t>
  </si>
  <si>
    <t xml:space="preserve">Максимум — консервативно (берётся более тревожная оценка); Среднее — компромисс.</t>
  </si>
  <si>
    <t xml:space="preserve">Начало графика ППР (понедельник)</t>
  </si>
  <si>
    <t xml:space="preserve">Первая неделя листа «График ППР»; 12 недель вперёд.</t>
  </si>
  <si>
    <t xml:space="preserve">Правила мероприятий по индексу приоритета (0–100)</t>
  </si>
  <si>
    <t xml:space="preserve">Индекс от</t>
  </si>
  <si>
    <t xml:space="preserve">Индекс до</t>
  </si>
  <si>
    <t xml:space="preserve">Срок, дней</t>
  </si>
  <si>
    <t xml:space="preserve">Основание</t>
  </si>
  <si>
    <t xml:space="preserve">Плановый комплекс мероприятий по ремонту</t>
  </si>
  <si>
    <t xml:space="preserve">Порог 80+ — из требования: плановый комплекс мероприятий по ремонту, скважина включается в ЭРА ремонта, Промайн формирует документ. Срок в днях — предложение, уточнить.</t>
  </si>
  <si>
    <t xml:space="preserve">Решение инженера</t>
  </si>
  <si>
    <t xml:space="preserve">Мероприятие для диапазона 61–79 в требовании не задано — уточнить. Срок — предложение.</t>
  </si>
  <si>
    <t xml:space="preserve">Ударная дозировка (УД)</t>
  </si>
  <si>
    <t xml:space="preserve">Диапазон 40–60 — из требования. Расшифровка «УД» как ударной дозировки — допущение. Срок — предложение.</t>
  </si>
  <si>
    <t xml:space="preserve">Мероприятия не требуются</t>
  </si>
  <si>
    <t xml:space="preserve">Ниже порога УД мероприятия не требуются.</t>
  </si>
  <si>
    <t xml:space="preserve">Если индекс выше верхней границы УД, но ниже порога планового комплекса по ремонту, назначается «Решение инженера». Нижние границы считаются формулами от соседних порогов. Пороги и сроки в системе задаются переменными MAI_RATING_* — держите их одинаковыми.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</si>
</sst>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"/>
    <numFmt numFmtId="167" formatCode="0"/>
    <numFmt numFmtId="168" formatCode="0.00"/>
    <numFmt numFmtId="169" formatCode="dd\.mm\.yyyy"/>
    <numFmt numFmtId="170" formatCode="dd\.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A47"/>
      <name val="Arial"/>
      <family val="0"/>
      <charset val="1"/>
    </font>
    <font>
      <i val="true"/>
      <sz val="9"/>
      <color rgb="FF5A6B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375C"/>
        <bgColor rgb="FF0E2A47"/>
      </patternFill>
    </fill>
    <fill>
      <patternFill patternType="solid">
        <fgColor rgb="FF0E2A47"/>
        <bgColor rgb="FF1A2430"/>
      </patternFill>
    </fill>
    <fill>
      <patternFill patternType="solid">
        <fgColor rgb="FFEEF3F9"/>
        <bgColor rgb="FFE8F5E9"/>
      </patternFill>
    </fill>
    <fill>
      <patternFill patternType="solid">
        <fgColor rgb="FFFFF9DB"/>
        <bgColor rgb="FFFFF4D6"/>
      </patternFill>
    </fill>
    <fill>
      <patternFill patternType="solid">
        <fgColor rgb="FFB71C1C"/>
        <bgColor rgb="FFBF4300"/>
      </patternFill>
    </fill>
    <fill>
      <patternFill patternType="solid">
        <fgColor rgb="FFBF4300"/>
        <bgColor rgb="FF8A5300"/>
      </patternFill>
    </fill>
    <fill>
      <patternFill patternType="solid">
        <fgColor rgb="FF8A5300"/>
        <bgColor rgb="FFBF4300"/>
      </patternFill>
    </fill>
    <fill>
      <patternFill patternType="solid">
        <fgColor rgb="FF1A2430"/>
        <bgColor rgb="FF0E2A4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0E2A47"/>
          <bgColor rgb="FF000000"/>
        </patternFill>
      </fill>
    </dxf>
    <dxf>
      <fill>
        <patternFill patternType="solid">
          <fgColor rgb="FFEEF3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DEFE3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BF4300"/>
          <bgColor rgb="FF000000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BF4300"/>
      </font>
      <fill>
        <patternFill>
          <bgColor rgb="FFFDEFE3"/>
        </patternFill>
      </fill>
    </dxf>
    <dxf>
      <font>
        <name val="Arial"/>
        <charset val="1"/>
        <family val="0"/>
        <b val="1"/>
        <color rgb="FF8A5300"/>
      </font>
      <fill>
        <patternFill>
          <bgColor rgb="FFFFF4D6"/>
        </patternFill>
      </fill>
    </dxf>
    <dxf>
      <font>
        <name val="Arial"/>
        <charset val="1"/>
        <family val="0"/>
        <b val="1"/>
        <color rgb="FF2E7D32"/>
      </font>
      <fill>
        <patternFill>
          <bgColor rgb="FFE8F5E9"/>
        </patternFill>
      </fill>
    </dxf>
    <dxf>
      <font>
        <name val="Arial"/>
        <charset val="1"/>
        <family val="0"/>
        <color rgb="FFB71C1C"/>
      </font>
      <fill>
        <patternFill>
          <bgColor rgb="FFFDECEA"/>
        </patternFill>
      </fill>
    </dxf>
    <dxf>
      <font>
        <name val="Arial"/>
        <charset val="1"/>
        <family val="0"/>
        <color rgb="FFBF4300"/>
      </font>
      <fill>
        <patternFill>
          <bgColor rgb="FFFDEFE3"/>
        </patternFill>
      </fill>
    </dxf>
    <dxf>
      <font>
        <name val="Arial"/>
        <charset val="1"/>
        <family val="0"/>
        <color rgb="FF8A5300"/>
      </font>
      <fill>
        <patternFill>
          <bgColor rgb="FFFFF4D6"/>
        </patternFill>
      </fill>
    </dxf>
    <dxf>
      <font>
        <name val="Arial"/>
        <charset val="1"/>
        <family val="0"/>
        <color rgb="FF2E7D32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B71C1C"/>
      </font>
    </dxf>
    <dxf>
      <font>
        <name val="Arial"/>
        <charset val="1"/>
        <family val="0"/>
        <b val="1"/>
        <color rgb="FFFFFFFF"/>
      </font>
      <fill>
        <patternFill>
          <bgColor rgb="FF1A243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71C1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F43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A5300"/>
        </patternFill>
      </fill>
    </dxf>
    <dxf>
      <fill>
        <patternFill>
          <bgColor rgb="FFFDECEA"/>
        </patternFill>
      </fill>
    </dxf>
    <dxf>
      <fill>
        <patternFill>
          <bgColor rgb="FFFDEFE3"/>
        </patternFill>
      </fill>
    </dxf>
    <dxf>
      <fill>
        <patternFill>
          <bgColor rgb="FFFFF4D6"/>
        </patternFill>
      </fill>
    </dxf>
    <dxf>
      <font>
        <name val="Arial"/>
        <charset val="1"/>
        <family val="0"/>
        <color rgb="FF9AA7B4"/>
      </font>
    </dxf>
    <dxf>
      <fill>
        <patternFill>
          <bgColor rgb="FF0072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300"/>
      <rgbColor rgb="FF800080"/>
      <rgbColor rgb="FF008080"/>
      <rgbColor rgb="FFC0C0C0"/>
      <rgbColor rgb="FF808080"/>
      <rgbColor rgb="FF9AA7B4"/>
      <rgbColor rgb="FFB71C1C"/>
      <rgbColor rgb="FFFFF9DB"/>
      <rgbColor rgb="FFE8F5E9"/>
      <rgbColor rgb="FF660066"/>
      <rgbColor rgb="FFFF8080"/>
      <rgbColor rgb="FF0072CE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9"/>
      <rgbColor rgb="FFFDEFE3"/>
      <rgbColor rgb="FFFFF4D6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5A6B7C"/>
      <rgbColor rgb="FF8FA3B8"/>
      <rgbColor rgb="FF16375C"/>
      <rgbColor rgb="FF2E7D32"/>
      <rgbColor rgb="FF0E2A47"/>
      <rgbColor rgb="FF333300"/>
      <rgbColor rgb="FFBF4300"/>
      <rgbColor rgb="FF993366"/>
      <rgbColor rgb="FF333399"/>
      <rgbColor rgb="FF1A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2A47"/>
    <pageSetUpPr fitToPage="true"/>
  </sheetPr>
  <dimension ref="A1:X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9" min="8" style="0" width="10"/>
    <col collapsed="false" customWidth="true" hidden="false" outlineLevel="0" max="12" min="10" style="0" width="11"/>
    <col collapsed="false" customWidth="true" hidden="false" outlineLevel="0" max="13" min="13" style="0" width="14"/>
    <col collapsed="false" customWidth="true" hidden="false" outlineLevel="0" max="14" min="14" style="0" width="21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8" min="18" style="0" width="26"/>
    <col collapsed="false" customWidth="true" hidden="false" outlineLevel="0" max="19" min="19" style="0" width="11"/>
    <col collapsed="false" customWidth="true" hidden="false" outlineLevel="0" max="20" min="20" style="0" width="16"/>
    <col collapsed="false" customWidth="true" hidden="false" outlineLevel="0" max="22" min="21" style="0" width="12"/>
    <col collapsed="false" customWidth="true" hidden="false" outlineLevel="0" max="23" min="23" style="0" width="15"/>
    <col collapsed="false" customWidth="true" hidden="false" outlineLevel="0" max="24" min="24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 t="s">
        <v>3</v>
      </c>
      <c r="G3" s="3"/>
      <c r="H3" s="3"/>
      <c r="I3" s="3"/>
      <c r="J3" s="3" t="s">
        <v>4</v>
      </c>
      <c r="K3" s="3"/>
      <c r="L3" s="3"/>
      <c r="M3" s="3"/>
      <c r="N3" s="3" t="s">
        <v>5</v>
      </c>
      <c r="O3" s="3"/>
      <c r="P3" s="3"/>
      <c r="Q3" s="3"/>
      <c r="R3" s="3" t="s">
        <v>6</v>
      </c>
      <c r="S3" s="3"/>
      <c r="T3" s="3"/>
      <c r="U3" s="3"/>
      <c r="V3" s="3"/>
      <c r="W3" s="3"/>
      <c r="X3" s="3"/>
    </row>
    <row r="4" customFormat="false" ht="43.5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</row>
    <row r="5" customFormat="false" ht="23.85" hidden="false" customHeight="false" outlineLevel="0" collapsed="false">
      <c r="A5" s="5" t="n">
        <f aca="false">IF(Q5="","",RANK(Q5,$Q$5:$Q$28,0))</f>
        <v>1</v>
      </c>
      <c r="B5" s="6" t="s">
        <v>31</v>
      </c>
      <c r="C5" s="7" t="s">
        <v>32</v>
      </c>
      <c r="D5" s="7" t="s">
        <v>33</v>
      </c>
      <c r="E5" s="6" t="s">
        <v>34</v>
      </c>
      <c r="F5" s="6" t="s">
        <v>35</v>
      </c>
      <c r="G5" s="6" t="s">
        <v>36</v>
      </c>
      <c r="H5" s="8" t="n">
        <v>3</v>
      </c>
      <c r="I5" s="9" t="n">
        <v>38</v>
      </c>
      <c r="J5" s="6" t="s">
        <v>37</v>
      </c>
      <c r="K5" s="6" t="s">
        <v>37</v>
      </c>
      <c r="L5" s="6" t="s">
        <v>37</v>
      </c>
      <c r="M5" s="6" t="s">
        <v>38</v>
      </c>
      <c r="N5" s="7" t="s">
        <v>36</v>
      </c>
      <c r="O5" s="10" t="n">
        <v>0.93</v>
      </c>
      <c r="P5" s="10" t="n">
        <v>0.88</v>
      </c>
      <c r="Q5" s="11" t="n">
        <f aca="false">IF(COUNT(O5:P5)=0,"",ROUND(IF(Параметры!$C$5="Среднее",AVERAGE(O5:P5),MAX(O5:P5))*100,0))</f>
        <v>93</v>
      </c>
      <c r="R5" s="12" t="str">
        <f aca="false">IF(Q5="","",IF(Q5&gt;=Параметры!$C$10,Параметры!$A$10,IF(Q5&gt;Параметры!$D$12,Параметры!$A$11,IF(Q5&gt;=Параметры!$C$12,Параметры!$A$12,Параметры!$A$13))))</f>
        <v>Плановый комплекс мероприятий по ремонту</v>
      </c>
      <c r="S5" s="13" t="str">
        <f aca="false">IF(Q5="","",IF(Q5&gt;=Параметры!$C$10,"Включить","—"))</f>
        <v>Включить</v>
      </c>
      <c r="T5" s="6" t="s">
        <v>39</v>
      </c>
      <c r="U5" s="14" t="n">
        <f aca="false">IF(Q5="","",IF(Q5&gt;=Параметры!$C$10,Параметры!$C$4+Параметры!$E$10,IF(Q5&gt;Параметры!$D$12,Параметры!$C$4+Параметры!$E$11,IF(Q5&gt;=Параметры!$C$12,Параметры!$C$4+Параметры!$E$12,""))))</f>
        <v>46323</v>
      </c>
      <c r="V5" s="15" t="n">
        <v>46316</v>
      </c>
      <c r="W5" s="13" t="str">
        <f aca="false">IF(OR(Q5="",Q5&lt;Параметры!$C$12),"—",IF(V5="","Не запланировано",IF(V5&gt;U5,"Позже срока","В срок")))</f>
        <v>В срок</v>
      </c>
      <c r="X5" s="7" t="s">
        <v>40</v>
      </c>
    </row>
    <row r="6" customFormat="false" ht="23.85" hidden="false" customHeight="false" outlineLevel="0" collapsed="false">
      <c r="A6" s="5" t="n">
        <f aca="false">IF(Q6="","",RANK(Q6,$Q$5:$Q$28,0))</f>
        <v>2</v>
      </c>
      <c r="B6" s="6" t="s">
        <v>41</v>
      </c>
      <c r="C6" s="7" t="s">
        <v>42</v>
      </c>
      <c r="D6" s="7" t="s">
        <v>43</v>
      </c>
      <c r="E6" s="6" t="s">
        <v>44</v>
      </c>
      <c r="F6" s="6" t="s">
        <v>35</v>
      </c>
      <c r="G6" s="6" t="s">
        <v>36</v>
      </c>
      <c r="H6" s="8" t="n">
        <v>2.5</v>
      </c>
      <c r="I6" s="9" t="n">
        <v>52</v>
      </c>
      <c r="J6" s="6" t="s">
        <v>37</v>
      </c>
      <c r="K6" s="6" t="s">
        <v>37</v>
      </c>
      <c r="L6" s="6" t="s">
        <v>45</v>
      </c>
      <c r="M6" s="6" t="s">
        <v>46</v>
      </c>
      <c r="N6" s="7" t="s">
        <v>36</v>
      </c>
      <c r="O6" s="10" t="n">
        <v>0.85</v>
      </c>
      <c r="P6" s="10" t="n">
        <v>0.88</v>
      </c>
      <c r="Q6" s="11" t="n">
        <f aca="false">IF(COUNT(O6:P6)=0,"",ROUND(IF(Параметры!$C$5="Среднее",AVERAGE(O6:P6),MAX(O6:P6))*100,0))</f>
        <v>88</v>
      </c>
      <c r="R6" s="12" t="str">
        <f aca="false">IF(Q6="","",IF(Q6&gt;=Параметры!$C$10,Параметры!$A$10,IF(Q6&gt;Параметры!$D$12,Параметры!$A$11,IF(Q6&gt;=Параметры!$C$12,Параметры!$A$12,Параметры!$A$13))))</f>
        <v>Плановый комплекс мероприятий по ремонту</v>
      </c>
      <c r="S6" s="13" t="str">
        <f aca="false">IF(Q6="","",IF(Q6&gt;=Параметры!$C$10,"Включить","—"))</f>
        <v>Включить</v>
      </c>
      <c r="T6" s="6" t="s">
        <v>47</v>
      </c>
      <c r="U6" s="14" t="n">
        <f aca="false">IF(Q6="","",IF(Q6&gt;=Параметры!$C$10,Параметры!$C$4+Параметры!$E$10,IF(Q6&gt;Параметры!$D$12,Параметры!$C$4+Параметры!$E$11,IF(Q6&gt;=Параметры!$C$12,Параметры!$C$4+Параметры!$E$12,""))))</f>
        <v>46323</v>
      </c>
      <c r="V6" s="15" t="n">
        <v>46318</v>
      </c>
      <c r="W6" s="13" t="str">
        <f aca="false">IF(OR(Q6="",Q6&lt;Параметры!$C$12),"—",IF(V6="","Не запланировано",IF(V6&gt;U6,"Позже срока","В срок")))</f>
        <v>В срок</v>
      </c>
      <c r="X6" s="7"/>
    </row>
    <row r="7" customFormat="false" ht="23.85" hidden="false" customHeight="false" outlineLevel="0" collapsed="false">
      <c r="A7" s="5" t="n">
        <f aca="false">IF(Q7="","",RANK(Q7,$Q$5:$Q$28,0))</f>
        <v>3</v>
      </c>
      <c r="B7" s="6" t="s">
        <v>48</v>
      </c>
      <c r="C7" s="7" t="s">
        <v>49</v>
      </c>
      <c r="D7" s="7" t="s">
        <v>50</v>
      </c>
      <c r="E7" s="6" t="s">
        <v>44</v>
      </c>
      <c r="F7" s="6" t="s">
        <v>35</v>
      </c>
      <c r="G7" s="6" t="s">
        <v>36</v>
      </c>
      <c r="H7" s="8" t="n">
        <v>2</v>
      </c>
      <c r="I7" s="9" t="n">
        <v>61</v>
      </c>
      <c r="J7" s="6" t="s">
        <v>45</v>
      </c>
      <c r="K7" s="6" t="s">
        <v>46</v>
      </c>
      <c r="L7" s="6" t="s">
        <v>45</v>
      </c>
      <c r="M7" s="6" t="s">
        <v>46</v>
      </c>
      <c r="N7" s="7" t="s">
        <v>36</v>
      </c>
      <c r="O7" s="10" t="n">
        <v>0.85</v>
      </c>
      <c r="P7" s="10" t="n">
        <v>0.62</v>
      </c>
      <c r="Q7" s="11" t="n">
        <f aca="false">IF(COUNT(O7:P7)=0,"",ROUND(IF(Параметры!$C$5="Среднее",AVERAGE(O7:P7),MAX(O7:P7))*100,0))</f>
        <v>85</v>
      </c>
      <c r="R7" s="12" t="str">
        <f aca="false">IF(Q7="","",IF(Q7&gt;=Параметры!$C$10,Параметры!$A$10,IF(Q7&gt;Параметры!$D$12,Параметры!$A$11,IF(Q7&gt;=Параметры!$C$12,Параметры!$A$12,Параметры!$A$13))))</f>
        <v>Плановый комплекс мероприятий по ремонту</v>
      </c>
      <c r="S7" s="13" t="str">
        <f aca="false">IF(Q7="","",IF(Q7&gt;=Параметры!$C$10,"Включить","—"))</f>
        <v>Включить</v>
      </c>
      <c r="T7" s="6" t="s">
        <v>47</v>
      </c>
      <c r="U7" s="14" t="n">
        <f aca="false">IF(Q7="","",IF(Q7&gt;=Параметры!$C$10,Параметры!$C$4+Параметры!$E$10,IF(Q7&gt;Параметры!$D$12,Параметры!$C$4+Параметры!$E$11,IF(Q7&gt;=Параметры!$C$12,Параметры!$C$4+Параметры!$E$12,""))))</f>
        <v>46323</v>
      </c>
      <c r="V7" s="15" t="n">
        <v>46323</v>
      </c>
      <c r="W7" s="13" t="str">
        <f aca="false">IF(OR(Q7="",Q7&lt;Параметры!$C$12),"—",IF(V7="","Не запланировано",IF(V7&gt;U7,"Позже срока","В срок")))</f>
        <v>В срок</v>
      </c>
      <c r="X7" s="7" t="s">
        <v>51</v>
      </c>
    </row>
    <row r="8" customFormat="false" ht="23.85" hidden="false" customHeight="false" outlineLevel="0" collapsed="false">
      <c r="A8" s="5" t="n">
        <f aca="false">IF(Q8="","",RANK(Q8,$Q$5:$Q$28,0))</f>
        <v>4</v>
      </c>
      <c r="B8" s="6" t="s">
        <v>52</v>
      </c>
      <c r="C8" s="7" t="s">
        <v>42</v>
      </c>
      <c r="D8" s="7" t="s">
        <v>53</v>
      </c>
      <c r="E8" s="6" t="s">
        <v>34</v>
      </c>
      <c r="F8" s="6" t="s">
        <v>45</v>
      </c>
      <c r="G8" s="6" t="s">
        <v>36</v>
      </c>
      <c r="H8" s="8" t="n">
        <v>1.5</v>
      </c>
      <c r="I8" s="9" t="n">
        <v>74</v>
      </c>
      <c r="J8" s="6" t="s">
        <v>37</v>
      </c>
      <c r="K8" s="6" t="s">
        <v>37</v>
      </c>
      <c r="L8" s="6" t="s">
        <v>37</v>
      </c>
      <c r="M8" s="6" t="s">
        <v>38</v>
      </c>
      <c r="N8" s="7" t="s">
        <v>36</v>
      </c>
      <c r="O8" s="10" t="n">
        <v>0.79</v>
      </c>
      <c r="P8" s="10" t="n">
        <v>0.81</v>
      </c>
      <c r="Q8" s="11" t="n">
        <f aca="false">IF(COUNT(O8:P8)=0,"",ROUND(IF(Параметры!$C$5="Среднее",AVERAGE(O8:P8),MAX(O8:P8))*100,0))</f>
        <v>81</v>
      </c>
      <c r="R8" s="12" t="str">
        <f aca="false">IF(Q8="","",IF(Q8&gt;=Параметры!$C$10,Параметры!$A$10,IF(Q8&gt;Параметры!$D$12,Параметры!$A$11,IF(Q8&gt;=Параметры!$C$12,Параметры!$A$12,Параметры!$A$13))))</f>
        <v>Плановый комплекс мероприятий по ремонту</v>
      </c>
      <c r="S8" s="13" t="str">
        <f aca="false">IF(Q8="","",IF(Q8&gt;=Параметры!$C$10,"Включить","—"))</f>
        <v>Включить</v>
      </c>
      <c r="T8" s="6" t="s">
        <v>54</v>
      </c>
      <c r="U8" s="14" t="n">
        <f aca="false">IF(Q8="","",IF(Q8&gt;=Параметры!$C$10,Параметры!$C$4+Параметры!$E$10,IF(Q8&gt;Параметры!$D$12,Параметры!$C$4+Параметры!$E$11,IF(Q8&gt;=Параметры!$C$12,Параметры!$C$4+Параметры!$E$12,""))))</f>
        <v>46323</v>
      </c>
      <c r="V8" s="15" t="n">
        <v>46331</v>
      </c>
      <c r="W8" s="13" t="str">
        <f aca="false">IF(OR(Q8="",Q8&lt;Параметры!$C$12),"—",IF(V8="","Не запланировано",IF(V8&gt;U8,"Позже срока","В срок")))</f>
        <v>Позже срока</v>
      </c>
      <c r="X8" s="7" t="s">
        <v>55</v>
      </c>
    </row>
    <row r="9" customFormat="false" ht="15" hidden="false" customHeight="false" outlineLevel="0" collapsed="false">
      <c r="A9" s="5" t="n">
        <f aca="false">IF(Q9="","",RANK(Q9,$Q$5:$Q$28,0))</f>
        <v>5</v>
      </c>
      <c r="B9" s="6" t="s">
        <v>56</v>
      </c>
      <c r="C9" s="7" t="s">
        <v>32</v>
      </c>
      <c r="D9" s="7" t="s">
        <v>33</v>
      </c>
      <c r="E9" s="6" t="s">
        <v>44</v>
      </c>
      <c r="F9" s="6" t="s">
        <v>35</v>
      </c>
      <c r="G9" s="6" t="s">
        <v>36</v>
      </c>
      <c r="H9" s="8" t="n">
        <v>1.5</v>
      </c>
      <c r="I9" s="9" t="n">
        <v>88</v>
      </c>
      <c r="J9" s="6" t="s">
        <v>37</v>
      </c>
      <c r="K9" s="6" t="s">
        <v>45</v>
      </c>
      <c r="L9" s="6" t="s">
        <v>37</v>
      </c>
      <c r="M9" s="6" t="s">
        <v>38</v>
      </c>
      <c r="N9" s="7" t="s">
        <v>57</v>
      </c>
      <c r="O9" s="10" t="n">
        <v>0.76</v>
      </c>
      <c r="P9" s="10" t="n">
        <v>0.71</v>
      </c>
      <c r="Q9" s="11" t="n">
        <f aca="false">IF(COUNT(O9:P9)=0,"",ROUND(IF(Параметры!$C$5="Среднее",AVERAGE(O9:P9),MAX(O9:P9))*100,0))</f>
        <v>76</v>
      </c>
      <c r="R9" s="12" t="str">
        <f aca="false">IF(Q9="","",IF(Q9&gt;=Параметры!$C$10,Параметры!$A$10,IF(Q9&gt;Параметры!$D$12,Параметры!$A$11,IF(Q9&gt;=Параметры!$C$12,Параметры!$A$12,Параметры!$A$13))))</f>
        <v>Решение инженера</v>
      </c>
      <c r="S9" s="13" t="str">
        <f aca="false">IF(Q9="","",IF(Q9&gt;=Параметры!$C$10,"Включить","—"))</f>
        <v>—</v>
      </c>
      <c r="T9" s="6" t="s">
        <v>46</v>
      </c>
      <c r="U9" s="14" t="n">
        <f aca="false">IF(Q9="","",IF(Q9&gt;=Параметры!$C$10,Параметры!$C$4+Параметры!$E$10,IF(Q9&gt;Параметры!$D$12,Параметры!$C$4+Параметры!$E$11,IF(Q9&gt;=Параметры!$C$12,Параметры!$C$4+Параметры!$E$12,""))))</f>
        <v>46339</v>
      </c>
      <c r="V9" s="15" t="n">
        <v>46335</v>
      </c>
      <c r="W9" s="13" t="str">
        <f aca="false">IF(OR(Q9="",Q9&lt;Параметры!$C$12),"—",IF(V9="","Не запланировано",IF(V9&gt;U9,"Позже срока","В срок")))</f>
        <v>В срок</v>
      </c>
      <c r="X9" s="7"/>
    </row>
    <row r="10" customFormat="false" ht="15" hidden="false" customHeight="false" outlineLevel="0" collapsed="false">
      <c r="A10" s="5" t="n">
        <f aca="false">IF(Q10="","",RANK(Q10,$Q$5:$Q$28,0))</f>
        <v>6</v>
      </c>
      <c r="B10" s="6" t="s">
        <v>58</v>
      </c>
      <c r="C10" s="7" t="s">
        <v>49</v>
      </c>
      <c r="D10" s="7" t="s">
        <v>59</v>
      </c>
      <c r="E10" s="6" t="s">
        <v>44</v>
      </c>
      <c r="F10" s="6" t="s">
        <v>35</v>
      </c>
      <c r="G10" s="6" t="s">
        <v>36</v>
      </c>
      <c r="H10" s="8" t="n">
        <v>1</v>
      </c>
      <c r="I10" s="9" t="n">
        <v>95</v>
      </c>
      <c r="J10" s="6" t="s">
        <v>45</v>
      </c>
      <c r="K10" s="6" t="s">
        <v>46</v>
      </c>
      <c r="L10" s="6" t="s">
        <v>45</v>
      </c>
      <c r="M10" s="6" t="s">
        <v>46</v>
      </c>
      <c r="N10" s="7" t="s">
        <v>57</v>
      </c>
      <c r="O10" s="10" t="n">
        <v>0.66</v>
      </c>
      <c r="P10" s="10" t="n">
        <v>0.69</v>
      </c>
      <c r="Q10" s="11" t="n">
        <f aca="false">IF(COUNT(O10:P10)=0,"",ROUND(IF(Параметры!$C$5="Среднее",AVERAGE(O10:P10),MAX(O10:P10))*100,0))</f>
        <v>69</v>
      </c>
      <c r="R10" s="12" t="str">
        <f aca="false">IF(Q10="","",IF(Q10&gt;=Параметры!$C$10,Параметры!$A$10,IF(Q10&gt;Параметры!$D$12,Параметры!$A$11,IF(Q10&gt;=Параметры!$C$12,Параметры!$A$12,Параметры!$A$13))))</f>
        <v>Решение инженера</v>
      </c>
      <c r="S10" s="13" t="str">
        <f aca="false">IF(Q10="","",IF(Q10&gt;=Параметры!$C$10,"Включить","—"))</f>
        <v>—</v>
      </c>
      <c r="T10" s="6" t="s">
        <v>46</v>
      </c>
      <c r="U10" s="14" t="n">
        <f aca="false">IF(Q10="","",IF(Q10&gt;=Параметры!$C$10,Параметры!$C$4+Параметры!$E$10,IF(Q10&gt;Параметры!$D$12,Параметры!$C$4+Параметры!$E$11,IF(Q10&gt;=Параметры!$C$12,Параметры!$C$4+Параметры!$E$12,""))))</f>
        <v>46339</v>
      </c>
      <c r="V10" s="15" t="n">
        <v>46342</v>
      </c>
      <c r="W10" s="13" t="str">
        <f aca="false">IF(OR(Q10="",Q10&lt;Параметры!$C$12),"—",IF(V10="","Не запланировано",IF(V10&gt;U10,"Позже срока","В срок")))</f>
        <v>Позже срока</v>
      </c>
      <c r="X10" s="7"/>
    </row>
    <row r="11" customFormat="false" ht="15" hidden="false" customHeight="false" outlineLevel="0" collapsed="false">
      <c r="A11" s="5" t="n">
        <f aca="false">IF(Q11="","",RANK(Q11,$Q$5:$Q$28,0))</f>
        <v>7</v>
      </c>
      <c r="B11" s="6" t="s">
        <v>60</v>
      </c>
      <c r="C11" s="7" t="s">
        <v>42</v>
      </c>
      <c r="D11" s="7" t="s">
        <v>50</v>
      </c>
      <c r="E11" s="6" t="s">
        <v>44</v>
      </c>
      <c r="F11" s="6" t="s">
        <v>45</v>
      </c>
      <c r="G11" s="6" t="s">
        <v>61</v>
      </c>
      <c r="H11" s="8" t="n">
        <v>0</v>
      </c>
      <c r="I11" s="9" t="n">
        <v>140</v>
      </c>
      <c r="J11" s="6" t="s">
        <v>37</v>
      </c>
      <c r="K11" s="6" t="s">
        <v>37</v>
      </c>
      <c r="L11" s="6" t="s">
        <v>45</v>
      </c>
      <c r="M11" s="6" t="s">
        <v>46</v>
      </c>
      <c r="N11" s="7" t="s">
        <v>57</v>
      </c>
      <c r="O11" s="10" t="n">
        <v>0.64</v>
      </c>
      <c r="P11" s="10" t="n">
        <v>0.52</v>
      </c>
      <c r="Q11" s="11" t="n">
        <f aca="false">IF(COUNT(O11:P11)=0,"",ROUND(IF(Параметры!$C$5="Среднее",AVERAGE(O11:P11),MAX(O11:P11))*100,0))</f>
        <v>64</v>
      </c>
      <c r="R11" s="12" t="str">
        <f aca="false">IF(Q11="","",IF(Q11&gt;=Параметры!$C$10,Параметры!$A$10,IF(Q11&gt;Параметры!$D$12,Параметры!$A$11,IF(Q11&gt;=Параметры!$C$12,Параметры!$A$12,Параметры!$A$13))))</f>
        <v>Решение инженера</v>
      </c>
      <c r="S11" s="13" t="str">
        <f aca="false">IF(Q11="","",IF(Q11&gt;=Параметры!$C$10,"Включить","—"))</f>
        <v>—</v>
      </c>
      <c r="T11" s="6" t="s">
        <v>46</v>
      </c>
      <c r="U11" s="14" t="n">
        <f aca="false">IF(Q11="","",IF(Q11&gt;=Параметры!$C$10,Параметры!$C$4+Параметры!$E$10,IF(Q11&gt;Параметры!$D$12,Параметры!$C$4+Параметры!$E$11,IF(Q11&gt;=Параметры!$C$12,Параметры!$C$4+Параметры!$E$12,""))))</f>
        <v>46339</v>
      </c>
      <c r="V11" s="15" t="n">
        <v>46338</v>
      </c>
      <c r="W11" s="13" t="str">
        <f aca="false">IF(OR(Q11="",Q11&lt;Параметры!$C$12),"—",IF(V11="","Не запланировано",IF(V11&gt;U11,"Позже срока","В срок")))</f>
        <v>В срок</v>
      </c>
      <c r="X11" s="7" t="s">
        <v>62</v>
      </c>
    </row>
    <row r="12" customFormat="false" ht="15" hidden="false" customHeight="false" outlineLevel="0" collapsed="false">
      <c r="A12" s="5" t="n">
        <f aca="false">IF(Q12="","",RANK(Q12,$Q$5:$Q$28,0))</f>
        <v>8</v>
      </c>
      <c r="B12" s="6" t="s">
        <v>63</v>
      </c>
      <c r="C12" s="7" t="s">
        <v>32</v>
      </c>
      <c r="D12" s="7" t="s">
        <v>64</v>
      </c>
      <c r="E12" s="6" t="s">
        <v>44</v>
      </c>
      <c r="F12" s="6" t="s">
        <v>35</v>
      </c>
      <c r="G12" s="6" t="s">
        <v>36</v>
      </c>
      <c r="H12" s="8" t="n">
        <v>1</v>
      </c>
      <c r="I12" s="9" t="n">
        <v>102</v>
      </c>
      <c r="J12" s="6" t="s">
        <v>45</v>
      </c>
      <c r="K12" s="6" t="s">
        <v>46</v>
      </c>
      <c r="L12" s="6" t="s">
        <v>45</v>
      </c>
      <c r="M12" s="6" t="s">
        <v>46</v>
      </c>
      <c r="N12" s="7" t="s">
        <v>57</v>
      </c>
      <c r="O12" s="10" t="n">
        <v>0.58</v>
      </c>
      <c r="P12" s="10" t="n">
        <v>0.55</v>
      </c>
      <c r="Q12" s="11" t="n">
        <f aca="false">IF(COUNT(O12:P12)=0,"",ROUND(IF(Параметры!$C$5="Среднее",AVERAGE(O12:P12),MAX(O12:P12))*100,0))</f>
        <v>58</v>
      </c>
      <c r="R12" s="12" t="str">
        <f aca="false">IF(Q12="","",IF(Q12&gt;=Параметры!$C$10,Параметры!$A$10,IF(Q12&gt;Параметры!$D$12,Параметры!$A$11,IF(Q12&gt;=Параметры!$C$12,Параметры!$A$12,Параметры!$A$13))))</f>
        <v>Ударная дозировка (УД)</v>
      </c>
      <c r="S12" s="13" t="str">
        <f aca="false">IF(Q12="","",IF(Q12&gt;=Параметры!$C$10,"Включить","—"))</f>
        <v>—</v>
      </c>
      <c r="T12" s="6" t="s">
        <v>46</v>
      </c>
      <c r="U12" s="14" t="n">
        <f aca="false">IF(Q12="","",IF(Q12&gt;=Параметры!$C$10,Параметры!$C$4+Параметры!$E$10,IF(Q12&gt;Параметры!$D$12,Параметры!$C$4+Параметры!$E$11,IF(Q12&gt;=Параметры!$C$12,Параметры!$C$4+Параметры!$E$12,""))))</f>
        <v>46354</v>
      </c>
      <c r="V12" s="15" t="n">
        <v>46328</v>
      </c>
      <c r="W12" s="13" t="str">
        <f aca="false">IF(OR(Q12="",Q12&lt;Параметры!$C$12),"—",IF(V12="","Не запланировано",IF(V12&gt;U12,"Позже срока","В срок")))</f>
        <v>В срок</v>
      </c>
      <c r="X12" s="7"/>
    </row>
    <row r="13" customFormat="false" ht="15" hidden="false" customHeight="false" outlineLevel="0" collapsed="false">
      <c r="A13" s="5" t="n">
        <f aca="false">IF(Q13="","",RANK(Q13,$Q$5:$Q$28,0))</f>
        <v>9</v>
      </c>
      <c r="B13" s="6" t="s">
        <v>65</v>
      </c>
      <c r="C13" s="7" t="s">
        <v>49</v>
      </c>
      <c r="D13" s="7" t="s">
        <v>33</v>
      </c>
      <c r="E13" s="6" t="s">
        <v>44</v>
      </c>
      <c r="F13" s="6" t="s">
        <v>35</v>
      </c>
      <c r="G13" s="6" t="s">
        <v>36</v>
      </c>
      <c r="H13" s="8" t="n">
        <v>1</v>
      </c>
      <c r="I13" s="9" t="n">
        <v>115</v>
      </c>
      <c r="J13" s="6" t="s">
        <v>37</v>
      </c>
      <c r="K13" s="6" t="s">
        <v>45</v>
      </c>
      <c r="L13" s="6" t="s">
        <v>37</v>
      </c>
      <c r="M13" s="6" t="s">
        <v>66</v>
      </c>
      <c r="N13" s="7" t="s">
        <v>57</v>
      </c>
      <c r="O13" s="10" t="n">
        <v>0.49</v>
      </c>
      <c r="P13" s="10" t="n">
        <v>0.55</v>
      </c>
      <c r="Q13" s="11" t="n">
        <f aca="false">IF(COUNT(O13:P13)=0,"",ROUND(IF(Параметры!$C$5="Среднее",AVERAGE(O13:P13),MAX(O13:P13))*100,0))</f>
        <v>55</v>
      </c>
      <c r="R13" s="12" t="str">
        <f aca="false">IF(Q13="","",IF(Q13&gt;=Параметры!$C$10,Параметры!$A$10,IF(Q13&gt;Параметры!$D$12,Параметры!$A$11,IF(Q13&gt;=Параметры!$C$12,Параметры!$A$12,Параметры!$A$13))))</f>
        <v>Ударная дозировка (УД)</v>
      </c>
      <c r="S13" s="13" t="str">
        <f aca="false">IF(Q13="","",IF(Q13&gt;=Параметры!$C$10,"Включить","—"))</f>
        <v>—</v>
      </c>
      <c r="T13" s="6" t="s">
        <v>46</v>
      </c>
      <c r="U13" s="14" t="n">
        <f aca="false">IF(Q13="","",IF(Q13&gt;=Параметры!$C$10,Параметры!$C$4+Параметры!$E$10,IF(Q13&gt;Параметры!$D$12,Параметры!$C$4+Параметры!$E$11,IF(Q13&gt;=Параметры!$C$12,Параметры!$C$4+Параметры!$E$12,""))))</f>
        <v>46354</v>
      </c>
      <c r="V13" s="15" t="n">
        <v>46337</v>
      </c>
      <c r="W13" s="13" t="str">
        <f aca="false">IF(OR(Q13="",Q13&lt;Параметры!$C$12),"—",IF(V13="","Не запланировано",IF(V13&gt;U13,"Позже срока","В срок")))</f>
        <v>В срок</v>
      </c>
      <c r="X13" s="7"/>
    </row>
    <row r="14" customFormat="false" ht="15" hidden="false" customHeight="false" outlineLevel="0" collapsed="false">
      <c r="A14" s="5" t="n">
        <f aca="false">IF(Q14="","",RANK(Q14,$Q$5:$Q$28,0))</f>
        <v>10</v>
      </c>
      <c r="B14" s="6" t="s">
        <v>67</v>
      </c>
      <c r="C14" s="7" t="s">
        <v>42</v>
      </c>
      <c r="D14" s="7" t="s">
        <v>43</v>
      </c>
      <c r="E14" s="6" t="s">
        <v>44</v>
      </c>
      <c r="F14" s="6" t="s">
        <v>35</v>
      </c>
      <c r="G14" s="6" t="s">
        <v>61</v>
      </c>
      <c r="H14" s="8" t="n">
        <v>0.5</v>
      </c>
      <c r="I14" s="9" t="n">
        <v>130</v>
      </c>
      <c r="J14" s="6" t="s">
        <v>45</v>
      </c>
      <c r="K14" s="6" t="s">
        <v>46</v>
      </c>
      <c r="L14" s="6" t="s">
        <v>45</v>
      </c>
      <c r="M14" s="6" t="s">
        <v>46</v>
      </c>
      <c r="N14" s="7" t="s">
        <v>57</v>
      </c>
      <c r="O14" s="10" t="n">
        <v>0.51</v>
      </c>
      <c r="P14" s="10" t="n">
        <v>0.47</v>
      </c>
      <c r="Q14" s="11" t="n">
        <f aca="false">IF(COUNT(O14:P14)=0,"",ROUND(IF(Параметры!$C$5="Среднее",AVERAGE(O14:P14),MAX(O14:P14))*100,0))</f>
        <v>51</v>
      </c>
      <c r="R14" s="12" t="str">
        <f aca="false">IF(Q14="","",IF(Q14&gt;=Параметры!$C$10,Параметры!$A$10,IF(Q14&gt;Параметры!$D$12,Параметры!$A$11,IF(Q14&gt;=Параметры!$C$12,Параметры!$A$12,Параметры!$A$13))))</f>
        <v>Ударная дозировка (УД)</v>
      </c>
      <c r="S14" s="13" t="str">
        <f aca="false">IF(Q14="","",IF(Q14&gt;=Параметры!$C$10,"Включить","—"))</f>
        <v>—</v>
      </c>
      <c r="T14" s="6" t="s">
        <v>46</v>
      </c>
      <c r="U14" s="14" t="n">
        <f aca="false">IF(Q14="","",IF(Q14&gt;=Параметры!$C$10,Параметры!$C$4+Параметры!$E$10,IF(Q14&gt;Параметры!$D$12,Параметры!$C$4+Параметры!$E$11,IF(Q14&gt;=Параметры!$C$12,Параметры!$C$4+Параметры!$E$12,""))))</f>
        <v>46354</v>
      </c>
      <c r="V14" s="15" t="n">
        <v>46344</v>
      </c>
      <c r="W14" s="13" t="str">
        <f aca="false">IF(OR(Q14="",Q14&lt;Параметры!$C$12),"—",IF(V14="","Не запланировано",IF(V14&gt;U14,"Позже срока","В срок")))</f>
        <v>В срок</v>
      </c>
      <c r="X14" s="7"/>
    </row>
    <row r="15" customFormat="false" ht="15" hidden="false" customHeight="false" outlineLevel="0" collapsed="false">
      <c r="A15" s="5" t="n">
        <f aca="false">IF(Q15="","",RANK(Q15,$Q$5:$Q$28,0))</f>
        <v>11</v>
      </c>
      <c r="B15" s="6" t="s">
        <v>68</v>
      </c>
      <c r="C15" s="7" t="s">
        <v>32</v>
      </c>
      <c r="D15" s="7" t="s">
        <v>59</v>
      </c>
      <c r="E15" s="6" t="s">
        <v>44</v>
      </c>
      <c r="F15" s="6" t="s">
        <v>45</v>
      </c>
      <c r="G15" s="6" t="s">
        <v>36</v>
      </c>
      <c r="H15" s="8" t="n">
        <v>0.5</v>
      </c>
      <c r="I15" s="9" t="n">
        <v>160</v>
      </c>
      <c r="J15" s="6" t="s">
        <v>45</v>
      </c>
      <c r="K15" s="6" t="s">
        <v>46</v>
      </c>
      <c r="L15" s="6" t="s">
        <v>45</v>
      </c>
      <c r="M15" s="6" t="s">
        <v>46</v>
      </c>
      <c r="N15" s="7" t="s">
        <v>57</v>
      </c>
      <c r="O15" s="10" t="n">
        <v>0.47</v>
      </c>
      <c r="P15" s="10" t="n">
        <v>0.4</v>
      </c>
      <c r="Q15" s="11" t="n">
        <f aca="false">IF(COUNT(O15:P15)=0,"",ROUND(IF(Параметры!$C$5="Среднее",AVERAGE(O15:P15),MAX(O15:P15))*100,0))</f>
        <v>47</v>
      </c>
      <c r="R15" s="12" t="str">
        <f aca="false">IF(Q15="","",IF(Q15&gt;=Параметры!$C$10,Параметры!$A$10,IF(Q15&gt;Параметры!$D$12,Параметры!$A$11,IF(Q15&gt;=Параметры!$C$12,Параметры!$A$12,Параметры!$A$13))))</f>
        <v>Ударная дозировка (УД)</v>
      </c>
      <c r="S15" s="13" t="str">
        <f aca="false">IF(Q15="","",IF(Q15&gt;=Параметры!$C$10,"Включить","—"))</f>
        <v>—</v>
      </c>
      <c r="T15" s="6" t="s">
        <v>46</v>
      </c>
      <c r="U15" s="14" t="n">
        <f aca="false">IF(Q15="","",IF(Q15&gt;=Параметры!$C$10,Параметры!$C$4+Параметры!$E$10,IF(Q15&gt;Параметры!$D$12,Параметры!$C$4+Параметры!$E$11,IF(Q15&gt;=Параметры!$C$12,Параметры!$C$4+Параметры!$E$12,""))))</f>
        <v>46354</v>
      </c>
      <c r="V15" s="15" t="n">
        <v>46351</v>
      </c>
      <c r="W15" s="13" t="str">
        <f aca="false">IF(OR(Q15="",Q15&lt;Параметры!$C$12),"—",IF(V15="","Не запланировано",IF(V15&gt;U15,"Позже срока","В срок")))</f>
        <v>В срок</v>
      </c>
      <c r="X15" s="7"/>
    </row>
    <row r="16" customFormat="false" ht="23.85" hidden="false" customHeight="false" outlineLevel="0" collapsed="false">
      <c r="A16" s="5" t="n">
        <f aca="false">IF(Q16="","",RANK(Q16,$Q$5:$Q$28,0))</f>
        <v>12</v>
      </c>
      <c r="B16" s="6" t="s">
        <v>69</v>
      </c>
      <c r="C16" s="7" t="s">
        <v>49</v>
      </c>
      <c r="D16" s="7" t="s">
        <v>53</v>
      </c>
      <c r="E16" s="6" t="s">
        <v>44</v>
      </c>
      <c r="F16" s="6" t="s">
        <v>35</v>
      </c>
      <c r="G16" s="6" t="s">
        <v>61</v>
      </c>
      <c r="H16" s="8" t="n">
        <v>0</v>
      </c>
      <c r="I16" s="9" t="n">
        <v>190</v>
      </c>
      <c r="J16" s="6" t="s">
        <v>37</v>
      </c>
      <c r="K16" s="6" t="s">
        <v>45</v>
      </c>
      <c r="L16" s="6" t="s">
        <v>37</v>
      </c>
      <c r="M16" s="6" t="s">
        <v>66</v>
      </c>
      <c r="N16" s="7" t="s">
        <v>61</v>
      </c>
      <c r="O16" s="10" t="n">
        <v>0.38</v>
      </c>
      <c r="P16" s="10" t="n">
        <v>0.44</v>
      </c>
      <c r="Q16" s="11" t="n">
        <f aca="false">IF(COUNT(O16:P16)=0,"",ROUND(IF(Параметры!$C$5="Среднее",AVERAGE(O16:P16),MAX(O16:P16))*100,0))</f>
        <v>44</v>
      </c>
      <c r="R16" s="12" t="str">
        <f aca="false">IF(Q16="","",IF(Q16&gt;=Параметры!$C$10,Параметры!$A$10,IF(Q16&gt;Параметры!$D$12,Параметры!$A$11,IF(Q16&gt;=Параметры!$C$12,Параметры!$A$12,Параметры!$A$13))))</f>
        <v>Ударная дозировка (УД)</v>
      </c>
      <c r="S16" s="13" t="str">
        <f aca="false">IF(Q16="","",IF(Q16&gt;=Параметры!$C$10,"Включить","—"))</f>
        <v>—</v>
      </c>
      <c r="T16" s="6" t="s">
        <v>46</v>
      </c>
      <c r="U16" s="14" t="n">
        <f aca="false">IF(Q16="","",IF(Q16&gt;=Параметры!$C$10,Параметры!$C$4+Параметры!$E$10,IF(Q16&gt;Параметры!$D$12,Параметры!$C$4+Параметры!$E$11,IF(Q16&gt;=Параметры!$C$12,Параметры!$C$4+Параметры!$E$12,""))))</f>
        <v>46354</v>
      </c>
      <c r="V16" s="15"/>
      <c r="W16" s="13" t="str">
        <f aca="false">IF(OR(Q16="",Q16&lt;Параметры!$C$12),"—",IF(V16="","Не запланировано",IF(V16&gt;U16,"Позже срока","В срок")))</f>
        <v>Не запланировано</v>
      </c>
      <c r="X16" s="7"/>
    </row>
    <row r="17" customFormat="false" ht="15" hidden="false" customHeight="false" outlineLevel="0" collapsed="false">
      <c r="A17" s="5" t="n">
        <f aca="false">IF(Q17="","",RANK(Q17,$Q$5:$Q$28,0))</f>
        <v>13</v>
      </c>
      <c r="B17" s="6" t="s">
        <v>70</v>
      </c>
      <c r="C17" s="7" t="s">
        <v>42</v>
      </c>
      <c r="D17" s="7" t="s">
        <v>50</v>
      </c>
      <c r="E17" s="6" t="s">
        <v>44</v>
      </c>
      <c r="F17" s="6" t="s">
        <v>35</v>
      </c>
      <c r="G17" s="6" t="s">
        <v>61</v>
      </c>
      <c r="H17" s="8" t="n">
        <v>0</v>
      </c>
      <c r="I17" s="9" t="n">
        <v>210</v>
      </c>
      <c r="J17" s="6" t="s">
        <v>45</v>
      </c>
      <c r="K17" s="6" t="s">
        <v>46</v>
      </c>
      <c r="L17" s="6" t="s">
        <v>45</v>
      </c>
      <c r="M17" s="6" t="s">
        <v>46</v>
      </c>
      <c r="N17" s="7" t="s">
        <v>61</v>
      </c>
      <c r="O17" s="10" t="n">
        <v>0.41</v>
      </c>
      <c r="P17" s="10" t="n">
        <v>0.36</v>
      </c>
      <c r="Q17" s="11" t="n">
        <f aca="false">IF(COUNT(O17:P17)=0,"",ROUND(IF(Параметры!$C$5="Среднее",AVERAGE(O17:P17),MAX(O17:P17))*100,0))</f>
        <v>41</v>
      </c>
      <c r="R17" s="12" t="str">
        <f aca="false">IF(Q17="","",IF(Q17&gt;=Параметры!$C$10,Параметры!$A$10,IF(Q17&gt;Параметры!$D$12,Параметры!$A$11,IF(Q17&gt;=Параметры!$C$12,Параметры!$A$12,Параметры!$A$13))))</f>
        <v>Ударная дозировка (УД)</v>
      </c>
      <c r="S17" s="13" t="str">
        <f aca="false">IF(Q17="","",IF(Q17&gt;=Параметры!$C$10,"Включить","—"))</f>
        <v>—</v>
      </c>
      <c r="T17" s="6" t="s">
        <v>46</v>
      </c>
      <c r="U17" s="14" t="n">
        <f aca="false">IF(Q17="","",IF(Q17&gt;=Параметры!$C$10,Параметры!$C$4+Параметры!$E$10,IF(Q17&gt;Параметры!$D$12,Параметры!$C$4+Параметры!$E$11,IF(Q17&gt;=Параметры!$C$12,Параметры!$C$4+Параметры!$E$12,""))))</f>
        <v>46354</v>
      </c>
      <c r="V17" s="15" t="n">
        <v>46352</v>
      </c>
      <c r="W17" s="13" t="str">
        <f aca="false">IF(OR(Q17="",Q17&lt;Параметры!$C$12),"—",IF(V17="","Не запланировано",IF(V17&gt;U17,"Позже срока","В срок")))</f>
        <v>В срок</v>
      </c>
      <c r="X17" s="7"/>
    </row>
    <row r="18" customFormat="false" ht="15" hidden="false" customHeight="false" outlineLevel="0" collapsed="false">
      <c r="A18" s="5" t="n">
        <f aca="false">IF(Q18="","",RANK(Q18,$Q$5:$Q$28,0))</f>
        <v>14</v>
      </c>
      <c r="B18" s="6" t="s">
        <v>71</v>
      </c>
      <c r="C18" s="7" t="s">
        <v>32</v>
      </c>
      <c r="D18" s="7" t="s">
        <v>33</v>
      </c>
      <c r="E18" s="6" t="s">
        <v>44</v>
      </c>
      <c r="F18" s="6" t="s">
        <v>35</v>
      </c>
      <c r="G18" s="6" t="s">
        <v>61</v>
      </c>
      <c r="H18" s="8" t="n">
        <v>0</v>
      </c>
      <c r="I18" s="9" t="n">
        <v>240</v>
      </c>
      <c r="J18" s="6" t="s">
        <v>45</v>
      </c>
      <c r="K18" s="6" t="s">
        <v>46</v>
      </c>
      <c r="L18" s="6" t="s">
        <v>45</v>
      </c>
      <c r="M18" s="6" t="s">
        <v>46</v>
      </c>
      <c r="N18" s="7" t="s">
        <v>61</v>
      </c>
      <c r="O18" s="10" t="n">
        <v>0.37</v>
      </c>
      <c r="P18" s="10" t="n">
        <v>0.33</v>
      </c>
      <c r="Q18" s="11" t="n">
        <f aca="false">IF(COUNT(O18:P18)=0,"",ROUND(IF(Параметры!$C$5="Среднее",AVERAGE(O18:P18),MAX(O18:P18))*100,0))</f>
        <v>37</v>
      </c>
      <c r="R18" s="12" t="str">
        <f aca="false">IF(Q18="","",IF(Q18&gt;=Параметры!$C$10,Параметры!$A$10,IF(Q18&gt;Параметры!$D$12,Параметры!$A$11,IF(Q18&gt;=Параметры!$C$12,Параметры!$A$12,Параметры!$A$13))))</f>
        <v>Мероприятия не требуются</v>
      </c>
      <c r="S18" s="13" t="str">
        <f aca="false">IF(Q18="","",IF(Q18&gt;=Параметры!$C$10,"Включить","—"))</f>
        <v>—</v>
      </c>
      <c r="T18" s="6" t="s">
        <v>46</v>
      </c>
      <c r="U18" s="14" t="str">
        <f aca="false">IF(Q18="","",IF(Q18&gt;=Параметры!$C$10,Параметры!$C$4+Параметры!$E$10,IF(Q18&gt;Параметры!$D$12,Параметры!$C$4+Параметры!$E$11,IF(Q18&gt;=Параметры!$C$12,Параметры!$C$4+Параметры!$E$12,""))))</f>
        <v/>
      </c>
      <c r="V18" s="15"/>
      <c r="W18" s="13" t="str">
        <f aca="false">IF(OR(Q18="",Q18&lt;Параметры!$C$12),"—",IF(V18="","Не запланировано",IF(V18&gt;U18,"Позже срока","В срок")))</f>
        <v>—</v>
      </c>
      <c r="X18" s="7"/>
    </row>
    <row r="19" customFormat="false" ht="15" hidden="false" customHeight="false" outlineLevel="0" collapsed="false">
      <c r="A19" s="5" t="n">
        <f aca="false">IF(Q19="","",RANK(Q19,$Q$5:$Q$28,0))</f>
        <v>15</v>
      </c>
      <c r="B19" s="6" t="s">
        <v>72</v>
      </c>
      <c r="C19" s="7" t="s">
        <v>49</v>
      </c>
      <c r="D19" s="7" t="s">
        <v>59</v>
      </c>
      <c r="E19" s="6" t="s">
        <v>44</v>
      </c>
      <c r="F19" s="6" t="s">
        <v>35</v>
      </c>
      <c r="G19" s="6" t="s">
        <v>61</v>
      </c>
      <c r="H19" s="8" t="n">
        <v>0</v>
      </c>
      <c r="I19" s="9" t="n">
        <v>255</v>
      </c>
      <c r="J19" s="6" t="s">
        <v>45</v>
      </c>
      <c r="K19" s="6" t="s">
        <v>46</v>
      </c>
      <c r="L19" s="6" t="s">
        <v>45</v>
      </c>
      <c r="M19" s="6" t="s">
        <v>46</v>
      </c>
      <c r="N19" s="7" t="s">
        <v>61</v>
      </c>
      <c r="O19" s="10" t="n">
        <v>0.31</v>
      </c>
      <c r="P19" s="10" t="n">
        <v>0.35</v>
      </c>
      <c r="Q19" s="11" t="n">
        <f aca="false">IF(COUNT(O19:P19)=0,"",ROUND(IF(Параметры!$C$5="Среднее",AVERAGE(O19:P19),MAX(O19:P19))*100,0))</f>
        <v>35</v>
      </c>
      <c r="R19" s="12" t="str">
        <f aca="false">IF(Q19="","",IF(Q19&gt;=Параметры!$C$10,Параметры!$A$10,IF(Q19&gt;Параметры!$D$12,Параметры!$A$11,IF(Q19&gt;=Параметры!$C$12,Параметры!$A$12,Параметры!$A$13))))</f>
        <v>Мероприятия не требуются</v>
      </c>
      <c r="S19" s="13" t="str">
        <f aca="false">IF(Q19="","",IF(Q19&gt;=Параметры!$C$10,"Включить","—"))</f>
        <v>—</v>
      </c>
      <c r="T19" s="6" t="s">
        <v>46</v>
      </c>
      <c r="U19" s="14" t="str">
        <f aca="false">IF(Q19="","",IF(Q19&gt;=Параметры!$C$10,Параметры!$C$4+Параметры!$E$10,IF(Q19&gt;Параметры!$D$12,Параметры!$C$4+Параметры!$E$11,IF(Q19&gt;=Параметры!$C$12,Параметры!$C$4+Параметры!$E$12,""))))</f>
        <v/>
      </c>
      <c r="V19" s="15"/>
      <c r="W19" s="13" t="str">
        <f aca="false">IF(OR(Q19="",Q19&lt;Параметры!$C$12),"—",IF(V19="","Не запланировано",IF(V19&gt;U19,"Позже срока","В срок")))</f>
        <v>—</v>
      </c>
      <c r="X19" s="7"/>
    </row>
    <row r="20" customFormat="false" ht="15" hidden="false" customHeight="false" outlineLevel="0" collapsed="false">
      <c r="A20" s="5" t="n">
        <f aca="false">IF(Q20="","",RANK(Q20,$Q$5:$Q$28,0))</f>
        <v>16</v>
      </c>
      <c r="B20" s="6" t="s">
        <v>73</v>
      </c>
      <c r="C20" s="7" t="s">
        <v>42</v>
      </c>
      <c r="D20" s="7" t="s">
        <v>64</v>
      </c>
      <c r="E20" s="6" t="s">
        <v>44</v>
      </c>
      <c r="F20" s="6" t="s">
        <v>45</v>
      </c>
      <c r="G20" s="6" t="s">
        <v>61</v>
      </c>
      <c r="H20" s="8" t="n">
        <v>0</v>
      </c>
      <c r="I20" s="9" t="n">
        <v>270</v>
      </c>
      <c r="J20" s="6" t="s">
        <v>45</v>
      </c>
      <c r="K20" s="6" t="s">
        <v>46</v>
      </c>
      <c r="L20" s="6" t="s">
        <v>45</v>
      </c>
      <c r="M20" s="6" t="s">
        <v>46</v>
      </c>
      <c r="N20" s="7" t="s">
        <v>61</v>
      </c>
      <c r="O20" s="10" t="n">
        <v>0.33</v>
      </c>
      <c r="P20" s="10" t="n">
        <v>0.29</v>
      </c>
      <c r="Q20" s="11" t="n">
        <f aca="false">IF(COUNT(O20:P20)=0,"",ROUND(IF(Параметры!$C$5="Среднее",AVERAGE(O20:P20),MAX(O20:P20))*100,0))</f>
        <v>33</v>
      </c>
      <c r="R20" s="12" t="str">
        <f aca="false">IF(Q20="","",IF(Q20&gt;=Параметры!$C$10,Параметры!$A$10,IF(Q20&gt;Параметры!$D$12,Параметры!$A$11,IF(Q20&gt;=Параметры!$C$12,Параметры!$A$12,Параметры!$A$13))))</f>
        <v>Мероприятия не требуются</v>
      </c>
      <c r="S20" s="13" t="str">
        <f aca="false">IF(Q20="","",IF(Q20&gt;=Параметры!$C$10,"Включить","—"))</f>
        <v>—</v>
      </c>
      <c r="T20" s="6" t="s">
        <v>46</v>
      </c>
      <c r="U20" s="14" t="str">
        <f aca="false">IF(Q20="","",IF(Q20&gt;=Параметры!$C$10,Параметры!$C$4+Параметры!$E$10,IF(Q20&gt;Параметры!$D$12,Параметры!$C$4+Параметры!$E$11,IF(Q20&gt;=Параметры!$C$12,Параметры!$C$4+Параметры!$E$12,""))))</f>
        <v/>
      </c>
      <c r="V20" s="15"/>
      <c r="W20" s="13" t="str">
        <f aca="false">IF(OR(Q20="",Q20&lt;Параметры!$C$12),"—",IF(V20="","Не запланировано",IF(V20&gt;U20,"Позже срока","В срок")))</f>
        <v>—</v>
      </c>
      <c r="X20" s="7"/>
    </row>
    <row r="21" customFormat="false" ht="15" hidden="false" customHeight="false" outlineLevel="0" collapsed="false">
      <c r="A21" s="5" t="n">
        <f aca="false">IF(Q21="","",RANK(Q21,$Q$5:$Q$28,0))</f>
        <v>17</v>
      </c>
      <c r="B21" s="6" t="s">
        <v>74</v>
      </c>
      <c r="C21" s="7" t="s">
        <v>32</v>
      </c>
      <c r="D21" s="7" t="s">
        <v>50</v>
      </c>
      <c r="E21" s="6" t="s">
        <v>34</v>
      </c>
      <c r="F21" s="6" t="s">
        <v>45</v>
      </c>
      <c r="G21" s="6" t="s">
        <v>61</v>
      </c>
      <c r="H21" s="8" t="n">
        <v>0</v>
      </c>
      <c r="I21" s="9" t="n">
        <v>300</v>
      </c>
      <c r="J21" s="6" t="s">
        <v>37</v>
      </c>
      <c r="K21" s="6" t="s">
        <v>45</v>
      </c>
      <c r="L21" s="6" t="s">
        <v>37</v>
      </c>
      <c r="M21" s="6" t="s">
        <v>66</v>
      </c>
      <c r="N21" s="7" t="s">
        <v>61</v>
      </c>
      <c r="O21" s="10" t="n">
        <v>0.28</v>
      </c>
      <c r="P21" s="10" t="n">
        <v>0.3</v>
      </c>
      <c r="Q21" s="11" t="n">
        <f aca="false">IF(COUNT(O21:P21)=0,"",ROUND(IF(Параметры!$C$5="Среднее",AVERAGE(O21:P21),MAX(O21:P21))*100,0))</f>
        <v>30</v>
      </c>
      <c r="R21" s="12" t="str">
        <f aca="false">IF(Q21="","",IF(Q21&gt;=Параметры!$C$10,Параметры!$A$10,IF(Q21&gt;Параметры!$D$12,Параметры!$A$11,IF(Q21&gt;=Параметры!$C$12,Параметры!$A$12,Параметры!$A$13))))</f>
        <v>Мероприятия не требуются</v>
      </c>
      <c r="S21" s="13" t="str">
        <f aca="false">IF(Q21="","",IF(Q21&gt;=Параметры!$C$10,"Включить","—"))</f>
        <v>—</v>
      </c>
      <c r="T21" s="6" t="s">
        <v>46</v>
      </c>
      <c r="U21" s="14" t="str">
        <f aca="false">IF(Q21="","",IF(Q21&gt;=Параметры!$C$10,Параметры!$C$4+Параметры!$E$10,IF(Q21&gt;Параметры!$D$12,Параметры!$C$4+Параметры!$E$11,IF(Q21&gt;=Параметры!$C$12,Параметры!$C$4+Параметры!$E$12,""))))</f>
        <v/>
      </c>
      <c r="V21" s="15"/>
      <c r="W21" s="13" t="str">
        <f aca="false">IF(OR(Q21="",Q21&lt;Параметры!$C$12),"—",IF(V21="","Не запланировано",IF(V21&gt;U21,"Позже срока","В срок")))</f>
        <v>—</v>
      </c>
      <c r="X21" s="7" t="s">
        <v>75</v>
      </c>
    </row>
    <row r="22" customFormat="false" ht="15" hidden="false" customHeight="false" outlineLevel="0" collapsed="false">
      <c r="A22" s="5" t="n">
        <f aca="false">IF(Q22="","",RANK(Q22,$Q$5:$Q$28,0))</f>
        <v>18</v>
      </c>
      <c r="B22" s="6" t="s">
        <v>76</v>
      </c>
      <c r="C22" s="7" t="s">
        <v>49</v>
      </c>
      <c r="D22" s="7" t="s">
        <v>43</v>
      </c>
      <c r="E22" s="6" t="s">
        <v>44</v>
      </c>
      <c r="F22" s="6" t="s">
        <v>35</v>
      </c>
      <c r="G22" s="6" t="s">
        <v>61</v>
      </c>
      <c r="H22" s="8" t="n">
        <v>0</v>
      </c>
      <c r="I22" s="9" t="n">
        <v>310</v>
      </c>
      <c r="J22" s="6" t="s">
        <v>45</v>
      </c>
      <c r="K22" s="6" t="s">
        <v>46</v>
      </c>
      <c r="L22" s="6" t="s">
        <v>45</v>
      </c>
      <c r="M22" s="6" t="s">
        <v>46</v>
      </c>
      <c r="N22" s="7" t="s">
        <v>61</v>
      </c>
      <c r="O22" s="10" t="n">
        <v>0.26</v>
      </c>
      <c r="P22" s="10" t="n">
        <v>0.22</v>
      </c>
      <c r="Q22" s="11" t="n">
        <f aca="false">IF(COUNT(O22:P22)=0,"",ROUND(IF(Параметры!$C$5="Среднее",AVERAGE(O22:P22),MAX(O22:P22))*100,0))</f>
        <v>26</v>
      </c>
      <c r="R22" s="12" t="str">
        <f aca="false">IF(Q22="","",IF(Q22&gt;=Параметры!$C$10,Параметры!$A$10,IF(Q22&gt;Параметры!$D$12,Параметры!$A$11,IF(Q22&gt;=Параметры!$C$12,Параметры!$A$12,Параметры!$A$13))))</f>
        <v>Мероприятия не требуются</v>
      </c>
      <c r="S22" s="13" t="str">
        <f aca="false">IF(Q22="","",IF(Q22&gt;=Параметры!$C$10,"Включить","—"))</f>
        <v>—</v>
      </c>
      <c r="T22" s="6" t="s">
        <v>46</v>
      </c>
      <c r="U22" s="14" t="str">
        <f aca="false">IF(Q22="","",IF(Q22&gt;=Параметры!$C$10,Параметры!$C$4+Параметры!$E$10,IF(Q22&gt;Параметры!$D$12,Параметры!$C$4+Параметры!$E$11,IF(Q22&gt;=Параметры!$C$12,Параметры!$C$4+Параметры!$E$12,""))))</f>
        <v/>
      </c>
      <c r="V22" s="15"/>
      <c r="W22" s="13" t="str">
        <f aca="false">IF(OR(Q22="",Q22&lt;Параметры!$C$12),"—",IF(V22="","Не запланировано",IF(V22&gt;U22,"Позже срока","В срок")))</f>
        <v>—</v>
      </c>
      <c r="X22" s="7"/>
    </row>
    <row r="23" customFormat="false" ht="15" hidden="false" customHeight="false" outlineLevel="0" collapsed="false">
      <c r="A23" s="5" t="n">
        <f aca="false">IF(Q23="","",RANK(Q23,$Q$5:$Q$28,0))</f>
        <v>19</v>
      </c>
      <c r="B23" s="6" t="s">
        <v>77</v>
      </c>
      <c r="C23" s="7" t="s">
        <v>42</v>
      </c>
      <c r="D23" s="7" t="s">
        <v>33</v>
      </c>
      <c r="E23" s="6" t="s">
        <v>44</v>
      </c>
      <c r="F23" s="6" t="s">
        <v>35</v>
      </c>
      <c r="G23" s="6" t="s">
        <v>61</v>
      </c>
      <c r="H23" s="8" t="n">
        <v>0</v>
      </c>
      <c r="I23" s="9" t="n">
        <v>330</v>
      </c>
      <c r="J23" s="6" t="s">
        <v>45</v>
      </c>
      <c r="K23" s="6" t="s">
        <v>46</v>
      </c>
      <c r="L23" s="6" t="s">
        <v>45</v>
      </c>
      <c r="M23" s="6" t="s">
        <v>46</v>
      </c>
      <c r="N23" s="7" t="s">
        <v>61</v>
      </c>
      <c r="O23" s="10" t="n">
        <v>0.21</v>
      </c>
      <c r="P23" s="10" t="n">
        <v>0.24</v>
      </c>
      <c r="Q23" s="11" t="n">
        <f aca="false">IF(COUNT(O23:P23)=0,"",ROUND(IF(Параметры!$C$5="Среднее",AVERAGE(O23:P23),MAX(O23:P23))*100,0))</f>
        <v>24</v>
      </c>
      <c r="R23" s="12" t="str">
        <f aca="false">IF(Q23="","",IF(Q23&gt;=Параметры!$C$10,Параметры!$A$10,IF(Q23&gt;Параметры!$D$12,Параметры!$A$11,IF(Q23&gt;=Параметры!$C$12,Параметры!$A$12,Параметры!$A$13))))</f>
        <v>Мероприятия не требуются</v>
      </c>
      <c r="S23" s="13" t="str">
        <f aca="false">IF(Q23="","",IF(Q23&gt;=Параметры!$C$10,"Включить","—"))</f>
        <v>—</v>
      </c>
      <c r="T23" s="6" t="s">
        <v>46</v>
      </c>
      <c r="U23" s="14" t="str">
        <f aca="false">IF(Q23="","",IF(Q23&gt;=Параметры!$C$10,Параметры!$C$4+Параметры!$E$10,IF(Q23&gt;Параметры!$D$12,Параметры!$C$4+Параметры!$E$11,IF(Q23&gt;=Параметры!$C$12,Параметры!$C$4+Параметры!$E$12,""))))</f>
        <v/>
      </c>
      <c r="V23" s="15"/>
      <c r="W23" s="13" t="str">
        <f aca="false">IF(OR(Q23="",Q23&lt;Параметры!$C$12),"—",IF(V23="","Не запланировано",IF(V23&gt;U23,"Позже срока","В срок")))</f>
        <v>—</v>
      </c>
      <c r="X23" s="7"/>
    </row>
    <row r="24" customFormat="false" ht="15" hidden="false" customHeight="false" outlineLevel="0" collapsed="false">
      <c r="A24" s="5" t="n">
        <f aca="false">IF(Q24="","",RANK(Q24,$Q$5:$Q$28,0))</f>
        <v>20</v>
      </c>
      <c r="B24" s="6" t="s">
        <v>78</v>
      </c>
      <c r="C24" s="7" t="s">
        <v>32</v>
      </c>
      <c r="D24" s="7" t="s">
        <v>53</v>
      </c>
      <c r="E24" s="6" t="s">
        <v>44</v>
      </c>
      <c r="F24" s="6" t="s">
        <v>35</v>
      </c>
      <c r="G24" s="6" t="s">
        <v>61</v>
      </c>
      <c r="H24" s="8" t="n">
        <v>0</v>
      </c>
      <c r="I24" s="9" t="n">
        <v>350</v>
      </c>
      <c r="J24" s="6" t="s">
        <v>45</v>
      </c>
      <c r="K24" s="6" t="s">
        <v>46</v>
      </c>
      <c r="L24" s="6" t="s">
        <v>45</v>
      </c>
      <c r="M24" s="6" t="s">
        <v>46</v>
      </c>
      <c r="N24" s="7" t="s">
        <v>61</v>
      </c>
      <c r="O24" s="10" t="n">
        <v>0.19</v>
      </c>
      <c r="P24" s="10" t="n">
        <v>0.17</v>
      </c>
      <c r="Q24" s="11" t="n">
        <f aca="false">IF(COUNT(O24:P24)=0,"",ROUND(IF(Параметры!$C$5="Среднее",AVERAGE(O24:P24),MAX(O24:P24))*100,0))</f>
        <v>19</v>
      </c>
      <c r="R24" s="12" t="str">
        <f aca="false">IF(Q24="","",IF(Q24&gt;=Параметры!$C$10,Параметры!$A$10,IF(Q24&gt;Параметры!$D$12,Параметры!$A$11,IF(Q24&gt;=Параметры!$C$12,Параметры!$A$12,Параметры!$A$13))))</f>
        <v>Мероприятия не требуются</v>
      </c>
      <c r="S24" s="13" t="str">
        <f aca="false">IF(Q24="","",IF(Q24&gt;=Параметры!$C$10,"Включить","—"))</f>
        <v>—</v>
      </c>
      <c r="T24" s="6" t="s">
        <v>46</v>
      </c>
      <c r="U24" s="14" t="str">
        <f aca="false">IF(Q24="","",IF(Q24&gt;=Параметры!$C$10,Параметры!$C$4+Параметры!$E$10,IF(Q24&gt;Параметры!$D$12,Параметры!$C$4+Параметры!$E$11,IF(Q24&gt;=Параметры!$C$12,Параметры!$C$4+Параметры!$E$12,""))))</f>
        <v/>
      </c>
      <c r="V24" s="15"/>
      <c r="W24" s="13" t="str">
        <f aca="false">IF(OR(Q24="",Q24&lt;Параметры!$C$12),"—",IF(V24="","Не запланировано",IF(V24&gt;U24,"Позже срока","В срок")))</f>
        <v>—</v>
      </c>
      <c r="X24" s="7"/>
    </row>
    <row r="25" customFormat="false" ht="15" hidden="false" customHeight="false" outlineLevel="0" collapsed="false">
      <c r="A25" s="5" t="n">
        <f aca="false">IF(Q25="","",RANK(Q25,$Q$5:$Q$28,0))</f>
        <v>21</v>
      </c>
      <c r="B25" s="6" t="s">
        <v>79</v>
      </c>
      <c r="C25" s="7" t="s">
        <v>49</v>
      </c>
      <c r="D25" s="7" t="s">
        <v>50</v>
      </c>
      <c r="E25" s="6" t="s">
        <v>44</v>
      </c>
      <c r="F25" s="6" t="s">
        <v>45</v>
      </c>
      <c r="G25" s="6" t="s">
        <v>61</v>
      </c>
      <c r="H25" s="8" t="n">
        <v>0</v>
      </c>
      <c r="I25" s="9" t="n">
        <v>365</v>
      </c>
      <c r="J25" s="6" t="s">
        <v>45</v>
      </c>
      <c r="K25" s="6" t="s">
        <v>46</v>
      </c>
      <c r="L25" s="6" t="s">
        <v>45</v>
      </c>
      <c r="M25" s="6" t="s">
        <v>46</v>
      </c>
      <c r="N25" s="7" t="s">
        <v>61</v>
      </c>
      <c r="O25" s="10" t="n">
        <v>0.15</v>
      </c>
      <c r="P25" s="10" t="n">
        <v>0.18</v>
      </c>
      <c r="Q25" s="11" t="n">
        <f aca="false">IF(COUNT(O25:P25)=0,"",ROUND(IF(Параметры!$C$5="Среднее",AVERAGE(O25:P25),MAX(O25:P25))*100,0))</f>
        <v>18</v>
      </c>
      <c r="R25" s="12" t="str">
        <f aca="false">IF(Q25="","",IF(Q25&gt;=Параметры!$C$10,Параметры!$A$10,IF(Q25&gt;Параметры!$D$12,Параметры!$A$11,IF(Q25&gt;=Параметры!$C$12,Параметры!$A$12,Параметры!$A$13))))</f>
        <v>Мероприятия не требуются</v>
      </c>
      <c r="S25" s="13" t="str">
        <f aca="false">IF(Q25="","",IF(Q25&gt;=Параметры!$C$10,"Включить","—"))</f>
        <v>—</v>
      </c>
      <c r="T25" s="6" t="s">
        <v>46</v>
      </c>
      <c r="U25" s="14" t="str">
        <f aca="false">IF(Q25="","",IF(Q25&gt;=Параметры!$C$10,Параметры!$C$4+Параметры!$E$10,IF(Q25&gt;Параметры!$D$12,Параметры!$C$4+Параметры!$E$11,IF(Q25&gt;=Параметры!$C$12,Параметры!$C$4+Параметры!$E$12,""))))</f>
        <v/>
      </c>
      <c r="V25" s="15"/>
      <c r="W25" s="13" t="str">
        <f aca="false">IF(OR(Q25="",Q25&lt;Параметры!$C$12),"—",IF(V25="","Не запланировано",IF(V25&gt;U25,"Позже срока","В срок")))</f>
        <v>—</v>
      </c>
      <c r="X25" s="7"/>
    </row>
    <row r="26" customFormat="false" ht="15" hidden="false" customHeight="false" outlineLevel="0" collapsed="false">
      <c r="A26" s="5" t="n">
        <f aca="false">IF(Q26="","",RANK(Q26,$Q$5:$Q$28,0))</f>
        <v>22</v>
      </c>
      <c r="B26" s="6" t="s">
        <v>80</v>
      </c>
      <c r="C26" s="7" t="s">
        <v>42</v>
      </c>
      <c r="D26" s="7" t="s">
        <v>59</v>
      </c>
      <c r="E26" s="6" t="s">
        <v>44</v>
      </c>
      <c r="F26" s="6" t="s">
        <v>35</v>
      </c>
      <c r="G26" s="6" t="s">
        <v>61</v>
      </c>
      <c r="H26" s="8" t="n">
        <v>0</v>
      </c>
      <c r="I26" s="9" t="n">
        <v>380</v>
      </c>
      <c r="J26" s="6" t="s">
        <v>45</v>
      </c>
      <c r="K26" s="6" t="s">
        <v>46</v>
      </c>
      <c r="L26" s="6" t="s">
        <v>45</v>
      </c>
      <c r="M26" s="6" t="s">
        <v>46</v>
      </c>
      <c r="N26" s="7" t="s">
        <v>61</v>
      </c>
      <c r="O26" s="10" t="n">
        <v>0.12</v>
      </c>
      <c r="P26" s="10" t="n">
        <v>0.14</v>
      </c>
      <c r="Q26" s="11" t="n">
        <f aca="false">IF(COUNT(O26:P26)=0,"",ROUND(IF(Параметры!$C$5="Среднее",AVERAGE(O26:P26),MAX(O26:P26))*100,0))</f>
        <v>14</v>
      </c>
      <c r="R26" s="12" t="str">
        <f aca="false">IF(Q26="","",IF(Q26&gt;=Параметры!$C$10,Параметры!$A$10,IF(Q26&gt;Параметры!$D$12,Параметры!$A$11,IF(Q26&gt;=Параметры!$C$12,Параметры!$A$12,Параметры!$A$13))))</f>
        <v>Мероприятия не требуются</v>
      </c>
      <c r="S26" s="13" t="str">
        <f aca="false">IF(Q26="","",IF(Q26&gt;=Параметры!$C$10,"Включить","—"))</f>
        <v>—</v>
      </c>
      <c r="T26" s="6" t="s">
        <v>46</v>
      </c>
      <c r="U26" s="14" t="str">
        <f aca="false">IF(Q26="","",IF(Q26&gt;=Параметры!$C$10,Параметры!$C$4+Параметры!$E$10,IF(Q26&gt;Параметры!$D$12,Параметры!$C$4+Параметры!$E$11,IF(Q26&gt;=Параметры!$C$12,Параметры!$C$4+Параметры!$E$12,""))))</f>
        <v/>
      </c>
      <c r="V26" s="15"/>
      <c r="W26" s="13" t="str">
        <f aca="false">IF(OR(Q26="",Q26&lt;Параметры!$C$12),"—",IF(V26="","Не запланировано",IF(V26&gt;U26,"Позже срока","В срок")))</f>
        <v>—</v>
      </c>
      <c r="X26" s="7"/>
    </row>
    <row r="27" customFormat="false" ht="15" hidden="false" customHeight="false" outlineLevel="0" collapsed="false">
      <c r="A27" s="5" t="n">
        <f aca="false">IF(Q27="","",RANK(Q27,$Q$5:$Q$28,0))</f>
        <v>23</v>
      </c>
      <c r="B27" s="6" t="s">
        <v>81</v>
      </c>
      <c r="C27" s="7" t="s">
        <v>32</v>
      </c>
      <c r="D27" s="7" t="s">
        <v>33</v>
      </c>
      <c r="E27" s="6" t="s">
        <v>44</v>
      </c>
      <c r="F27" s="6" t="s">
        <v>35</v>
      </c>
      <c r="G27" s="6" t="s">
        <v>61</v>
      </c>
      <c r="H27" s="8" t="n">
        <v>0</v>
      </c>
      <c r="I27" s="9" t="n">
        <v>400</v>
      </c>
      <c r="J27" s="6" t="s">
        <v>45</v>
      </c>
      <c r="K27" s="6" t="s">
        <v>46</v>
      </c>
      <c r="L27" s="6" t="s">
        <v>45</v>
      </c>
      <c r="M27" s="6" t="s">
        <v>46</v>
      </c>
      <c r="N27" s="7" t="s">
        <v>61</v>
      </c>
      <c r="O27" s="10" t="n">
        <v>0.09</v>
      </c>
      <c r="P27" s="10" t="n">
        <v>0.11</v>
      </c>
      <c r="Q27" s="11" t="n">
        <f aca="false">IF(COUNT(O27:P27)=0,"",ROUND(IF(Параметры!$C$5="Среднее",AVERAGE(O27:P27),MAX(O27:P27))*100,0))</f>
        <v>11</v>
      </c>
      <c r="R27" s="12" t="str">
        <f aca="false">IF(Q27="","",IF(Q27&gt;=Параметры!$C$10,Параметры!$A$10,IF(Q27&gt;Параметры!$D$12,Параметры!$A$11,IF(Q27&gt;=Параметры!$C$12,Параметры!$A$12,Параметры!$A$13))))</f>
        <v>Мероприятия не требуются</v>
      </c>
      <c r="S27" s="13" t="str">
        <f aca="false">IF(Q27="","",IF(Q27&gt;=Параметры!$C$10,"Включить","—"))</f>
        <v>—</v>
      </c>
      <c r="T27" s="6" t="s">
        <v>46</v>
      </c>
      <c r="U27" s="14" t="str">
        <f aca="false">IF(Q27="","",IF(Q27&gt;=Параметры!$C$10,Параметры!$C$4+Параметры!$E$10,IF(Q27&gt;Параметры!$D$12,Параметры!$C$4+Параметры!$E$11,IF(Q27&gt;=Параметры!$C$12,Параметры!$C$4+Параметры!$E$12,""))))</f>
        <v/>
      </c>
      <c r="V27" s="15"/>
      <c r="W27" s="13" t="str">
        <f aca="false">IF(OR(Q27="",Q27&lt;Параметры!$C$12),"—",IF(V27="","Не запланировано",IF(V27&gt;U27,"Позже срока","В срок")))</f>
        <v>—</v>
      </c>
      <c r="X27" s="7"/>
    </row>
    <row r="28" customFormat="false" ht="15" hidden="false" customHeight="false" outlineLevel="0" collapsed="false">
      <c r="A28" s="5" t="n">
        <f aca="false">IF(Q28="","",RANK(Q28,$Q$5:$Q$28,0))</f>
        <v>24</v>
      </c>
      <c r="B28" s="6" t="s">
        <v>82</v>
      </c>
      <c r="C28" s="7" t="s">
        <v>49</v>
      </c>
      <c r="D28" s="7" t="s">
        <v>64</v>
      </c>
      <c r="E28" s="6" t="s">
        <v>44</v>
      </c>
      <c r="F28" s="6" t="s">
        <v>35</v>
      </c>
      <c r="G28" s="6" t="s">
        <v>61</v>
      </c>
      <c r="H28" s="8" t="n">
        <v>0</v>
      </c>
      <c r="I28" s="9" t="n">
        <v>420</v>
      </c>
      <c r="J28" s="6" t="s">
        <v>45</v>
      </c>
      <c r="K28" s="6" t="s">
        <v>46</v>
      </c>
      <c r="L28" s="6" t="s">
        <v>45</v>
      </c>
      <c r="M28" s="6" t="s">
        <v>46</v>
      </c>
      <c r="N28" s="7" t="s">
        <v>61</v>
      </c>
      <c r="O28" s="10" t="n">
        <v>0.07</v>
      </c>
      <c r="P28" s="10" t="n">
        <v>0.06</v>
      </c>
      <c r="Q28" s="11" t="n">
        <f aca="false">IF(COUNT(O28:P28)=0,"",ROUND(IF(Параметры!$C$5="Среднее",AVERAGE(O28:P28),MAX(O28:P28))*100,0))</f>
        <v>7</v>
      </c>
      <c r="R28" s="12" t="str">
        <f aca="false">IF(Q28="","",IF(Q28&gt;=Параметры!$C$10,Параметры!$A$10,IF(Q28&gt;Параметры!$D$12,Параметры!$A$11,IF(Q28&gt;=Параметры!$C$12,Параметры!$A$12,Параметры!$A$13))))</f>
        <v>Мероприятия не требуются</v>
      </c>
      <c r="S28" s="13" t="str">
        <f aca="false">IF(Q28="","",IF(Q28&gt;=Параметры!$C$10,"Включить","—"))</f>
        <v>—</v>
      </c>
      <c r="T28" s="6" t="s">
        <v>46</v>
      </c>
      <c r="U28" s="14" t="str">
        <f aca="false">IF(Q28="","",IF(Q28&gt;=Параметры!$C$10,Параметры!$C$4+Параметры!$E$10,IF(Q28&gt;Параметры!$D$12,Параметры!$C$4+Параметры!$E$11,IF(Q28&gt;=Параметры!$C$12,Параметры!$C$4+Параметры!$E$12,""))))</f>
        <v/>
      </c>
      <c r="V28" s="15"/>
      <c r="W28" s="13" t="str">
        <f aca="false">IF(OR(Q28="",Q28&lt;Параметры!$C$12),"—",IF(V28="","Не запланировано",IF(V28&gt;U28,"Позже срока","В срок")))</f>
        <v>—</v>
      </c>
      <c r="X28" s="7"/>
    </row>
    <row r="30" customFormat="false" ht="15" hidden="false" customHeight="false" outlineLevel="0" collapsed="false">
      <c r="A30" s="2" t="s">
        <v>83</v>
      </c>
    </row>
  </sheetData>
  <autoFilter ref="A4:X28"/>
  <mergeCells count="5">
    <mergeCell ref="A3:E3"/>
    <mergeCell ref="F3:I3"/>
    <mergeCell ref="J3:M3"/>
    <mergeCell ref="N3:Q3"/>
    <mergeCell ref="R3:W3"/>
  </mergeCells>
  <conditionalFormatting sqref="Q5:Q28">
    <cfRule type="expression" priority="2" aboveAverage="0" equalAverage="0" bottom="0" percent="0" rank="0" text="" dxfId="14">
      <formula>$Q5&gt;=Параметры!$C$10</formula>
    </cfRule>
    <cfRule type="expression" priority="3" aboveAverage="0" equalAverage="0" bottom="0" percent="0" rank="0" text="" dxfId="15">
      <formula>AND($Q5&gt;Параметры!$D$12,$Q5&lt;Параметры!$C$10)</formula>
    </cfRule>
    <cfRule type="expression" priority="4" aboveAverage="0" equalAverage="0" bottom="0" percent="0" rank="0" text="" dxfId="16">
      <formula>AND($Q5&gt;=Параметры!$C$12,$Q5&lt;=Параметры!$D$12)</formula>
    </cfRule>
    <cfRule type="expression" priority="5" aboveAverage="0" equalAverage="0" bottom="0" percent="0" rank="0" text="" dxfId="17">
      <formula>AND(ISNUMBER($Q5),$Q5&lt;Параметры!$C$12)</formula>
    </cfRule>
  </conditionalFormatting>
  <conditionalFormatting sqref="R5:R28">
    <cfRule type="expression" priority="6" aboveAverage="0" equalAverage="0" bottom="0" percent="0" rank="0" text="" dxfId="14">
      <formula>$Q5&gt;=Параметры!$C$10</formula>
    </cfRule>
    <cfRule type="expression" priority="7" aboveAverage="0" equalAverage="0" bottom="0" percent="0" rank="0" text="" dxfId="15">
      <formula>AND($Q5&gt;Параметры!$D$12,$Q5&lt;Параметры!$C$10)</formula>
    </cfRule>
    <cfRule type="expression" priority="8" aboveAverage="0" equalAverage="0" bottom="0" percent="0" rank="0" text="" dxfId="16">
      <formula>AND($Q5&gt;=Параметры!$C$12,$Q5&lt;=Параметры!$D$12)</formula>
    </cfRule>
    <cfRule type="expression" priority="9" aboveAverage="0" equalAverage="0" bottom="0" percent="0" rank="0" text="" dxfId="17">
      <formula>AND(ISNUMBER($Q5),$Q5&lt;Параметры!$C$12)</formula>
    </cfRule>
  </conditionalFormatting>
  <conditionalFormatting sqref="S5:S28">
    <cfRule type="expression" priority="10" aboveAverage="0" equalAverage="0" bottom="0" percent="0" rank="0" text="" dxfId="18">
      <formula>$Q5&gt;=Параметры!$C$10</formula>
    </cfRule>
    <cfRule type="expression" priority="11" aboveAverage="0" equalAverage="0" bottom="0" percent="0" rank="0" text="" dxfId="19">
      <formula>AND($Q5&gt;Параметры!$D$12,$Q5&lt;Параметры!$C$10)</formula>
    </cfRule>
    <cfRule type="expression" priority="12" aboveAverage="0" equalAverage="0" bottom="0" percent="0" rank="0" text="" dxfId="20">
      <formula>AND($Q5&gt;=Параметры!$C$12,$Q5&lt;=Параметры!$D$12)</formula>
    </cfRule>
    <cfRule type="expression" priority="13" aboveAverage="0" equalAverage="0" bottom="0" percent="0" rank="0" text="" dxfId="21">
      <formula>AND(ISNUMBER($Q5),$Q5&lt;Параметры!$C$12)</formula>
    </cfRule>
  </conditionalFormatting>
  <conditionalFormatting sqref="W5:W28">
    <cfRule type="expression" priority="14" aboveAverage="0" equalAverage="0" bottom="0" percent="0" rank="0" text="" dxfId="14">
      <formula>W5="Позже срока"</formula>
    </cfRule>
    <cfRule type="expression" priority="15" aboveAverage="0" equalAverage="0" bottom="0" percent="0" rank="0" text="" dxfId="16">
      <formula>W5="Не запланировано"</formula>
    </cfRule>
  </conditionalFormatting>
  <conditionalFormatting sqref="G5:G28">
    <cfRule type="expression" priority="16" aboveAverage="0" equalAverage="0" bottom="0" percent="0" rank="0" text="" dxfId="22">
      <formula>G5="Коррозионная"</formula>
    </cfRule>
  </conditionalFormatting>
  <conditionalFormatting sqref="K5:K28">
    <cfRule type="expression" priority="17" aboveAverage="0" equalAverage="0" bottom="0" percent="0" rank="0" text="" dxfId="22">
      <formula>K5="Есть"</formula>
    </cfRule>
  </conditionalFormatting>
  <conditionalFormatting sqref="M5:M28">
    <cfRule type="expression" priority="18" aboveAverage="0" equalAverage="0" bottom="0" percent="0" rank="0" text="" dxfId="22">
      <formula>M5="Коррозия есть"</formula>
    </cfRule>
  </conditionalFormatting>
  <conditionalFormatting sqref="N5:N28">
    <cfRule type="expression" priority="19" aboveAverage="0" equalAverage="0" bottom="0" percent="0" rank="0" text="" dxfId="22">
      <formula>N5="Коррозионная"</formula>
    </cfRule>
  </conditionalFormatting>
  <dataValidations count="10">
    <dataValidation allowBlank="true" errorStyle="stop" operator="between" showDropDown="false" showErrorMessage="false" showInputMessage="false" sqref="E5:E505" type="list">
      <formula1>"В работе,Не в работе"</formula1>
      <formula2>0</formula2>
    </dataValidation>
    <dataValidation allowBlank="true" errorStyle="stop" operator="between" showDropDown="false" showErrorMessage="false" showInputMessage="false" sqref="F5:F505" type="list">
      <formula1>"Да,Нет"</formula1>
      <formula2>0</formula2>
    </dataValidation>
    <dataValidation allowBlank="true" errorStyle="stop" operator="between" showDropDown="false" showErrorMessage="false" showInputMessage="false" sqref="G5:G505" type="list">
      <formula1>"Коррозионная,Некоррозионная"</formula1>
      <formula2>0</formula2>
    </dataValidation>
    <dataValidation allowBlank="true" errorStyle="stop" operator="between" showDropDown="false" showErrorMessage="false" showInputMessage="false" sqref="J5:J505" type="list">
      <formula1>"Есть,Нет"</formula1>
      <formula2>0</formula2>
    </dataValidation>
    <dataValidation allowBlank="true" errorStyle="stop" operator="between" showDropDown="false" showErrorMessage="false" showInputMessage="false" sqref="K5:K505" type="list">
      <formula1>"Есть,Нет,—"</formula1>
      <formula2>0</formula2>
    </dataValidation>
    <dataValidation allowBlank="true" errorStyle="stop" operator="between" showDropDown="false" showErrorMessage="false" showInputMessage="false" sqref="L5:L505" type="list">
      <formula1>"Есть,Нет"</formula1>
      <formula2>0</formula2>
    </dataValidation>
    <dataValidation allowBlank="true" errorStyle="stop" operator="between" showDropDown="false" showErrorMessage="false" showInputMessage="false" sqref="M5:M505" type="list">
      <formula1>"Коррозия есть,Коррозии нет,—"</formula1>
      <formula2>0</formula2>
    </dataValidation>
    <dataValidation allowBlank="true" errorStyle="stop" operator="between" showDropDown="false" showErrorMessage="false" showInputMessage="false" sqref="N5:N505" type="list">
      <formula1>"Некоррозионная,Среднекоррозионная,Коррозионная"</formula1>
      <formula2>0</formula2>
    </dataValidation>
    <dataValidation allowBlank="true" errorStyle="stop" operator="between" showDropDown="false" showErrorMessage="false" showInputMessage="false" sqref="T5:T505" type="list">
      <formula1>"Не сформирован,Сформирован,Направлен в ЭРА,—"</formula1>
      <formula2>0</formula2>
    </dataValidation>
    <dataValidation allowBlank="true" error="Оценка модели должна быть от 0 до 1." errorStyle="stop" operator="between" showDropDown="false" showErrorMessage="true" showInputMessage="false" sqref="O5:P50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2CE"/>
    <pageSetUpPr fitToPage="true"/>
  </sheetPr>
  <dimension ref="A1:S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19" min="8" style="0" width="8.5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  <c r="G3" s="16"/>
      <c r="H3" s="3" t="s">
        <v>86</v>
      </c>
      <c r="I3" s="3" t="s">
        <v>87</v>
      </c>
      <c r="J3" s="3" t="s">
        <v>88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94</v>
      </c>
      <c r="Q3" s="3" t="s">
        <v>95</v>
      </c>
      <c r="R3" s="3" t="s">
        <v>96</v>
      </c>
      <c r="S3" s="3" t="s">
        <v>97</v>
      </c>
    </row>
    <row r="4" customFormat="false" ht="30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98</v>
      </c>
      <c r="E4" s="4" t="s">
        <v>99</v>
      </c>
      <c r="F4" s="4" t="s">
        <v>27</v>
      </c>
      <c r="G4" s="4" t="s">
        <v>100</v>
      </c>
      <c r="H4" s="17" t="n">
        <f aca="false">Параметры!$C$6+0</f>
        <v>46307</v>
      </c>
      <c r="I4" s="17" t="n">
        <f aca="false">Параметры!$C$6+7</f>
        <v>46314</v>
      </c>
      <c r="J4" s="17" t="n">
        <f aca="false">Параметры!$C$6+14</f>
        <v>46321</v>
      </c>
      <c r="K4" s="17" t="n">
        <f aca="false">Параметры!$C$6+21</f>
        <v>46328</v>
      </c>
      <c r="L4" s="17" t="n">
        <f aca="false">Параметры!$C$6+28</f>
        <v>46335</v>
      </c>
      <c r="M4" s="17" t="n">
        <f aca="false">Параметры!$C$6+35</f>
        <v>46342</v>
      </c>
      <c r="N4" s="17" t="n">
        <f aca="false">Параметры!$C$6+42</f>
        <v>46349</v>
      </c>
      <c r="O4" s="17" t="n">
        <f aca="false">Параметры!$C$6+49</f>
        <v>46356</v>
      </c>
      <c r="P4" s="17" t="n">
        <f aca="false">Параметры!$C$6+56</f>
        <v>46363</v>
      </c>
      <c r="Q4" s="17" t="n">
        <f aca="false">Параметры!$C$6+63</f>
        <v>46370</v>
      </c>
      <c r="R4" s="17" t="n">
        <f aca="false">Параметры!$C$6+70</f>
        <v>46377</v>
      </c>
      <c r="S4" s="17" t="n">
        <f aca="false">Параметры!$C$6+77</f>
        <v>46384</v>
      </c>
    </row>
    <row r="5" customFormat="false" ht="15" hidden="false" customHeight="false" outlineLevel="0" collapsed="false">
      <c r="A5" s="18" t="n">
        <f aca="false">Рейтинг!A5</f>
        <v>1</v>
      </c>
      <c r="B5" s="18" t="str">
        <f aca="false">Рейтинг!B5</f>
        <v>2215Б</v>
      </c>
      <c r="C5" s="19" t="str">
        <f aca="false">Рейтинг!C5</f>
        <v>Озёрное</v>
      </c>
      <c r="D5" s="20" t="n">
        <f aca="false">Рейтинг!Q5</f>
        <v>93</v>
      </c>
      <c r="E5" s="18" t="str">
        <f aca="false">IF(Рейтинг!Q5="","",IF(Рейтинг!Q5&gt;=Параметры!$C$10,Параметры!$B$10,IF(Рейтинг!Q5&gt;Параметры!$D$12,Параметры!$B$11,IF(Рейтинг!Q5&gt;=Параметры!$C$12,Параметры!$B$12,""))))</f>
        <v>ПКР</v>
      </c>
      <c r="F5" s="21" t="n">
        <f aca="false">Рейтинг!U5</f>
        <v>46323</v>
      </c>
      <c r="G5" s="21" t="n">
        <f aca="false">IF(Рейтинг!V5="","",Рейтинг!V5)</f>
        <v>46316</v>
      </c>
      <c r="H5" s="22" t="str">
        <f aca="false">IF(AND(ISNUMBER($G5),$G5&gt;=H$4,$G5&lt;H$4+7),$E5&amp;IF(AND(ISNUMBER($F5),$G5&gt;$F5)," !",""),"")</f>
        <v/>
      </c>
      <c r="I5" s="22" t="str">
        <f aca="false">IF(AND(ISNUMBER($G5),$G5&gt;=I$4,$G5&lt;I$4+7),$E5&amp;IF(AND(ISNUMBER($F5),$G5&gt;$F5)," !",""),"")</f>
        <v>ПКР</v>
      </c>
      <c r="J5" s="22" t="str">
        <f aca="false">IF(AND(ISNUMBER($G5),$G5&gt;=J$4,$G5&lt;J$4+7),$E5&amp;IF(AND(ISNUMBER($F5),$G5&gt;$F5)," !",""),"")</f>
        <v/>
      </c>
      <c r="K5" s="22" t="str">
        <f aca="false">IF(AND(ISNUMBER($G5),$G5&gt;=K$4,$G5&lt;K$4+7),$E5&amp;IF(AND(ISNUMBER($F5),$G5&gt;$F5)," !",""),"")</f>
        <v/>
      </c>
      <c r="L5" s="22" t="str">
        <f aca="false">IF(AND(ISNUMBER($G5),$G5&gt;=L$4,$G5&lt;L$4+7),$E5&amp;IF(AND(ISNUMBER($F5),$G5&gt;$F5)," !",""),"")</f>
        <v/>
      </c>
      <c r="M5" s="22" t="str">
        <f aca="false">IF(AND(ISNUMBER($G5),$G5&gt;=M$4,$G5&lt;M$4+7),$E5&amp;IF(AND(ISNUMBER($F5),$G5&gt;$F5)," !",""),"")</f>
        <v/>
      </c>
      <c r="N5" s="22" t="str">
        <f aca="false">IF(AND(ISNUMBER($G5),$G5&gt;=N$4,$G5&lt;N$4+7),$E5&amp;IF(AND(ISNUMBER($F5),$G5&gt;$F5)," !",""),"")</f>
        <v/>
      </c>
      <c r="O5" s="22" t="str">
        <f aca="false">IF(AND(ISNUMBER($G5),$G5&gt;=O$4,$G5&lt;O$4+7),$E5&amp;IF(AND(ISNUMBER($F5),$G5&gt;$F5)," !",""),"")</f>
        <v/>
      </c>
      <c r="P5" s="22" t="str">
        <f aca="false">IF(AND(ISNUMBER($G5),$G5&gt;=P$4,$G5&lt;P$4+7),$E5&amp;IF(AND(ISNUMBER($F5),$G5&gt;$F5)," !",""),"")</f>
        <v/>
      </c>
      <c r="Q5" s="22" t="str">
        <f aca="false">IF(AND(ISNUMBER($G5),$G5&gt;=Q$4,$G5&lt;Q$4+7),$E5&amp;IF(AND(ISNUMBER($F5),$G5&gt;$F5)," !",""),"")</f>
        <v/>
      </c>
      <c r="R5" s="22" t="str">
        <f aca="false">IF(AND(ISNUMBER($G5),$G5&gt;=R$4,$G5&lt;R$4+7),$E5&amp;IF(AND(ISNUMBER($F5),$G5&gt;$F5)," !",""),"")</f>
        <v/>
      </c>
      <c r="S5" s="22" t="str">
        <f aca="false">IF(AND(ISNUMBER($G5),$G5&gt;=S$4,$G5&lt;S$4+7),$E5&amp;IF(AND(ISNUMBER($F5),$G5&gt;$F5)," !",""),"")</f>
        <v/>
      </c>
    </row>
    <row r="6" customFormat="false" ht="15" hidden="false" customHeight="false" outlineLevel="0" collapsed="false">
      <c r="A6" s="18" t="n">
        <f aca="false">Рейтинг!A6</f>
        <v>2</v>
      </c>
      <c r="B6" s="18" t="str">
        <f aca="false">Рейтинг!B6</f>
        <v>1131</v>
      </c>
      <c r="C6" s="19" t="str">
        <f aca="false">Рейтинг!C6</f>
        <v>Северное</v>
      </c>
      <c r="D6" s="20" t="n">
        <f aca="false">Рейтинг!Q6</f>
        <v>88</v>
      </c>
      <c r="E6" s="18" t="str">
        <f aca="false">IF(Рейтинг!Q6="","",IF(Рейтинг!Q6&gt;=Параметры!$C$10,Параметры!$B$10,IF(Рейтинг!Q6&gt;Параметры!$D$12,Параметры!$B$11,IF(Рейтинг!Q6&gt;=Параметры!$C$12,Параметры!$B$12,""))))</f>
        <v>ПКР</v>
      </c>
      <c r="F6" s="21" t="n">
        <f aca="false">Рейтинг!U6</f>
        <v>46323</v>
      </c>
      <c r="G6" s="21" t="n">
        <f aca="false">IF(Рейтинг!V6="","",Рейтинг!V6)</f>
        <v>46318</v>
      </c>
      <c r="H6" s="22" t="str">
        <f aca="false">IF(AND(ISNUMBER($G6),$G6&gt;=H$4,$G6&lt;H$4+7),$E6&amp;IF(AND(ISNUMBER($F6),$G6&gt;$F6)," !",""),"")</f>
        <v/>
      </c>
      <c r="I6" s="22" t="str">
        <f aca="false">IF(AND(ISNUMBER($G6),$G6&gt;=I$4,$G6&lt;I$4+7),$E6&amp;IF(AND(ISNUMBER($F6),$G6&gt;$F6)," !",""),"")</f>
        <v>ПКР</v>
      </c>
      <c r="J6" s="22" t="str">
        <f aca="false">IF(AND(ISNUMBER($G6),$G6&gt;=J$4,$G6&lt;J$4+7),$E6&amp;IF(AND(ISNUMBER($F6),$G6&gt;$F6)," !",""),"")</f>
        <v/>
      </c>
      <c r="K6" s="22" t="str">
        <f aca="false">IF(AND(ISNUMBER($G6),$G6&gt;=K$4,$G6&lt;K$4+7),$E6&amp;IF(AND(ISNUMBER($F6),$G6&gt;$F6)," !",""),"")</f>
        <v/>
      </c>
      <c r="L6" s="22" t="str">
        <f aca="false">IF(AND(ISNUMBER($G6),$G6&gt;=L$4,$G6&lt;L$4+7),$E6&amp;IF(AND(ISNUMBER($F6),$G6&gt;$F6)," !",""),"")</f>
        <v/>
      </c>
      <c r="M6" s="22" t="str">
        <f aca="false">IF(AND(ISNUMBER($G6),$G6&gt;=M$4,$G6&lt;M$4+7),$E6&amp;IF(AND(ISNUMBER($F6),$G6&gt;$F6)," !",""),"")</f>
        <v/>
      </c>
      <c r="N6" s="22" t="str">
        <f aca="false">IF(AND(ISNUMBER($G6),$G6&gt;=N$4,$G6&lt;N$4+7),$E6&amp;IF(AND(ISNUMBER($F6),$G6&gt;$F6)," !",""),"")</f>
        <v/>
      </c>
      <c r="O6" s="22" t="str">
        <f aca="false">IF(AND(ISNUMBER($G6),$G6&gt;=O$4,$G6&lt;O$4+7),$E6&amp;IF(AND(ISNUMBER($F6),$G6&gt;$F6)," !",""),"")</f>
        <v/>
      </c>
      <c r="P6" s="22" t="str">
        <f aca="false">IF(AND(ISNUMBER($G6),$G6&gt;=P$4,$G6&lt;P$4+7),$E6&amp;IF(AND(ISNUMBER($F6),$G6&gt;$F6)," !",""),"")</f>
        <v/>
      </c>
      <c r="Q6" s="22" t="str">
        <f aca="false">IF(AND(ISNUMBER($G6),$G6&gt;=Q$4,$G6&lt;Q$4+7),$E6&amp;IF(AND(ISNUMBER($F6),$G6&gt;$F6)," !",""),"")</f>
        <v/>
      </c>
      <c r="R6" s="22" t="str">
        <f aca="false">IF(AND(ISNUMBER($G6),$G6&gt;=R$4,$G6&lt;R$4+7),$E6&amp;IF(AND(ISNUMBER($F6),$G6&gt;$F6)," !",""),"")</f>
        <v/>
      </c>
      <c r="S6" s="22" t="str">
        <f aca="false">IF(AND(ISNUMBER($G6),$G6&gt;=S$4,$G6&lt;S$4+7),$E6&amp;IF(AND(ISNUMBER($F6),$G6&gt;$F6)," !",""),"")</f>
        <v/>
      </c>
    </row>
    <row r="7" customFormat="false" ht="15" hidden="false" customHeight="false" outlineLevel="0" collapsed="false">
      <c r="A7" s="18" t="n">
        <f aca="false">Рейтинг!A7</f>
        <v>3</v>
      </c>
      <c r="B7" s="18" t="str">
        <f aca="false">Рейтинг!B7</f>
        <v>3307</v>
      </c>
      <c r="C7" s="19" t="str">
        <f aca="false">Рейтинг!C7</f>
        <v>Восточное</v>
      </c>
      <c r="D7" s="20" t="n">
        <f aca="false">Рейтинг!Q7</f>
        <v>85</v>
      </c>
      <c r="E7" s="18" t="str">
        <f aca="false">IF(Рейтинг!Q7="","",IF(Рейтинг!Q7&gt;=Параметры!$C$10,Параметры!$B$10,IF(Рейтинг!Q7&gt;Параметры!$D$12,Параметры!$B$11,IF(Рейтинг!Q7&gt;=Параметры!$C$12,Параметры!$B$12,""))))</f>
        <v>ПКР</v>
      </c>
      <c r="F7" s="21" t="n">
        <f aca="false">Рейтинг!U7</f>
        <v>46323</v>
      </c>
      <c r="G7" s="21" t="n">
        <f aca="false">IF(Рейтинг!V7="","",Рейтинг!V7)</f>
        <v>46323</v>
      </c>
      <c r="H7" s="22" t="str">
        <f aca="false">IF(AND(ISNUMBER($G7),$G7&gt;=H$4,$G7&lt;H$4+7),$E7&amp;IF(AND(ISNUMBER($F7),$G7&gt;$F7)," !",""),"")</f>
        <v/>
      </c>
      <c r="I7" s="22" t="str">
        <f aca="false">IF(AND(ISNUMBER($G7),$G7&gt;=I$4,$G7&lt;I$4+7),$E7&amp;IF(AND(ISNUMBER($F7),$G7&gt;$F7)," !",""),"")</f>
        <v/>
      </c>
      <c r="J7" s="22" t="str">
        <f aca="false">IF(AND(ISNUMBER($G7),$G7&gt;=J$4,$G7&lt;J$4+7),$E7&amp;IF(AND(ISNUMBER($F7),$G7&gt;$F7)," !",""),"")</f>
        <v>ПКР</v>
      </c>
      <c r="K7" s="22" t="str">
        <f aca="false">IF(AND(ISNUMBER($G7),$G7&gt;=K$4,$G7&lt;K$4+7),$E7&amp;IF(AND(ISNUMBER($F7),$G7&gt;$F7)," !",""),"")</f>
        <v/>
      </c>
      <c r="L7" s="22" t="str">
        <f aca="false">IF(AND(ISNUMBER($G7),$G7&gt;=L$4,$G7&lt;L$4+7),$E7&amp;IF(AND(ISNUMBER($F7),$G7&gt;$F7)," !",""),"")</f>
        <v/>
      </c>
      <c r="M7" s="22" t="str">
        <f aca="false">IF(AND(ISNUMBER($G7),$G7&gt;=M$4,$G7&lt;M$4+7),$E7&amp;IF(AND(ISNUMBER($F7),$G7&gt;$F7)," !",""),"")</f>
        <v/>
      </c>
      <c r="N7" s="22" t="str">
        <f aca="false">IF(AND(ISNUMBER($G7),$G7&gt;=N$4,$G7&lt;N$4+7),$E7&amp;IF(AND(ISNUMBER($F7),$G7&gt;$F7)," !",""),"")</f>
        <v/>
      </c>
      <c r="O7" s="22" t="str">
        <f aca="false">IF(AND(ISNUMBER($G7),$G7&gt;=O$4,$G7&lt;O$4+7),$E7&amp;IF(AND(ISNUMBER($F7),$G7&gt;$F7)," !",""),"")</f>
        <v/>
      </c>
      <c r="P7" s="22" t="str">
        <f aca="false">IF(AND(ISNUMBER($G7),$G7&gt;=P$4,$G7&lt;P$4+7),$E7&amp;IF(AND(ISNUMBER($F7),$G7&gt;$F7)," !",""),"")</f>
        <v/>
      </c>
      <c r="Q7" s="22" t="str">
        <f aca="false">IF(AND(ISNUMBER($G7),$G7&gt;=Q$4,$G7&lt;Q$4+7),$E7&amp;IF(AND(ISNUMBER($F7),$G7&gt;$F7)," !",""),"")</f>
        <v/>
      </c>
      <c r="R7" s="22" t="str">
        <f aca="false">IF(AND(ISNUMBER($G7),$G7&gt;=R$4,$G7&lt;R$4+7),$E7&amp;IF(AND(ISNUMBER($F7),$G7&gt;$F7)," !",""),"")</f>
        <v/>
      </c>
      <c r="S7" s="22" t="str">
        <f aca="false">IF(AND(ISNUMBER($G7),$G7&gt;=S$4,$G7&lt;S$4+7),$E7&amp;IF(AND(ISNUMBER($F7),$G7&gt;$F7)," !",""),"")</f>
        <v/>
      </c>
    </row>
    <row r="8" customFormat="false" ht="15" hidden="false" customHeight="false" outlineLevel="0" collapsed="false">
      <c r="A8" s="18" t="n">
        <f aca="false">Рейтинг!A8</f>
        <v>4</v>
      </c>
      <c r="B8" s="18" t="str">
        <f aca="false">Рейтинг!B8</f>
        <v>1046</v>
      </c>
      <c r="C8" s="19" t="str">
        <f aca="false">Рейтинг!C8</f>
        <v>Северное</v>
      </c>
      <c r="D8" s="20" t="n">
        <f aca="false">Рейтинг!Q8</f>
        <v>81</v>
      </c>
      <c r="E8" s="18" t="str">
        <f aca="false">IF(Рейтинг!Q8="","",IF(Рейтинг!Q8&gt;=Параметры!$C$10,Параметры!$B$10,IF(Рейтинг!Q8&gt;Параметры!$D$12,Параметры!$B$11,IF(Рейтинг!Q8&gt;=Параметры!$C$12,Параметры!$B$12,""))))</f>
        <v>ПКР</v>
      </c>
      <c r="F8" s="21" t="n">
        <f aca="false">Рейтинг!U8</f>
        <v>46323</v>
      </c>
      <c r="G8" s="21" t="n">
        <f aca="false">IF(Рейтинг!V8="","",Рейтинг!V8)</f>
        <v>46331</v>
      </c>
      <c r="H8" s="22" t="str">
        <f aca="false">IF(AND(ISNUMBER($G8),$G8&gt;=H$4,$G8&lt;H$4+7),$E8&amp;IF(AND(ISNUMBER($F8),$G8&gt;$F8)," !",""),"")</f>
        <v/>
      </c>
      <c r="I8" s="22" t="str">
        <f aca="false">IF(AND(ISNUMBER($G8),$G8&gt;=I$4,$G8&lt;I$4+7),$E8&amp;IF(AND(ISNUMBER($F8),$G8&gt;$F8)," !",""),"")</f>
        <v/>
      </c>
      <c r="J8" s="22" t="str">
        <f aca="false">IF(AND(ISNUMBER($G8),$G8&gt;=J$4,$G8&lt;J$4+7),$E8&amp;IF(AND(ISNUMBER($F8),$G8&gt;$F8)," !",""),"")</f>
        <v/>
      </c>
      <c r="K8" s="22" t="str">
        <f aca="false">IF(AND(ISNUMBER($G8),$G8&gt;=K$4,$G8&lt;K$4+7),$E8&amp;IF(AND(ISNUMBER($F8),$G8&gt;$F8)," !",""),"")</f>
        <v>ПКР !</v>
      </c>
      <c r="L8" s="22" t="str">
        <f aca="false">IF(AND(ISNUMBER($G8),$G8&gt;=L$4,$G8&lt;L$4+7),$E8&amp;IF(AND(ISNUMBER($F8),$G8&gt;$F8)," !",""),"")</f>
        <v/>
      </c>
      <c r="M8" s="22" t="str">
        <f aca="false">IF(AND(ISNUMBER($G8),$G8&gt;=M$4,$G8&lt;M$4+7),$E8&amp;IF(AND(ISNUMBER($F8),$G8&gt;$F8)," !",""),"")</f>
        <v/>
      </c>
      <c r="N8" s="22" t="str">
        <f aca="false">IF(AND(ISNUMBER($G8),$G8&gt;=N$4,$G8&lt;N$4+7),$E8&amp;IF(AND(ISNUMBER($F8),$G8&gt;$F8)," !",""),"")</f>
        <v/>
      </c>
      <c r="O8" s="22" t="str">
        <f aca="false">IF(AND(ISNUMBER($G8),$G8&gt;=O$4,$G8&lt;O$4+7),$E8&amp;IF(AND(ISNUMBER($F8),$G8&gt;$F8)," !",""),"")</f>
        <v/>
      </c>
      <c r="P8" s="22" t="str">
        <f aca="false">IF(AND(ISNUMBER($G8),$G8&gt;=P$4,$G8&lt;P$4+7),$E8&amp;IF(AND(ISNUMBER($F8),$G8&gt;$F8)," !",""),"")</f>
        <v/>
      </c>
      <c r="Q8" s="22" t="str">
        <f aca="false">IF(AND(ISNUMBER($G8),$G8&gt;=Q$4,$G8&lt;Q$4+7),$E8&amp;IF(AND(ISNUMBER($F8),$G8&gt;$F8)," !",""),"")</f>
        <v/>
      </c>
      <c r="R8" s="22" t="str">
        <f aca="false">IF(AND(ISNUMBER($G8),$G8&gt;=R$4,$G8&lt;R$4+7),$E8&amp;IF(AND(ISNUMBER($F8),$G8&gt;$F8)," !",""),"")</f>
        <v/>
      </c>
      <c r="S8" s="22" t="str">
        <f aca="false">IF(AND(ISNUMBER($G8),$G8&gt;=S$4,$G8&lt;S$4+7),$E8&amp;IF(AND(ISNUMBER($F8),$G8&gt;$F8)," !",""),"")</f>
        <v/>
      </c>
    </row>
    <row r="9" customFormat="false" ht="15" hidden="false" customHeight="false" outlineLevel="0" collapsed="false">
      <c r="A9" s="18" t="n">
        <f aca="false">Рейтинг!A9</f>
        <v>5</v>
      </c>
      <c r="B9" s="18" t="str">
        <f aca="false">Рейтинг!B9</f>
        <v>2241</v>
      </c>
      <c r="C9" s="19" t="str">
        <f aca="false">Рейтинг!C9</f>
        <v>Озёрное</v>
      </c>
      <c r="D9" s="20" t="n">
        <f aca="false">Рейтинг!Q9</f>
        <v>76</v>
      </c>
      <c r="E9" s="18" t="str">
        <f aca="false">IF(Рейтинг!Q9="","",IF(Рейтинг!Q9&gt;=Параметры!$C$10,Параметры!$B$10,IF(Рейтинг!Q9&gt;Параметры!$D$12,Параметры!$B$11,IF(Рейтинг!Q9&gt;=Параметры!$C$12,Параметры!$B$12,""))))</f>
        <v>РИ</v>
      </c>
      <c r="F9" s="21" t="n">
        <f aca="false">Рейтинг!U9</f>
        <v>46339</v>
      </c>
      <c r="G9" s="21" t="n">
        <f aca="false">IF(Рейтинг!V9="","",Рейтинг!V9)</f>
        <v>46335</v>
      </c>
      <c r="H9" s="22" t="str">
        <f aca="false">IF(AND(ISNUMBER($G9),$G9&gt;=H$4,$G9&lt;H$4+7),$E9&amp;IF(AND(ISNUMBER($F9),$G9&gt;$F9)," !",""),"")</f>
        <v/>
      </c>
      <c r="I9" s="22" t="str">
        <f aca="false">IF(AND(ISNUMBER($G9),$G9&gt;=I$4,$G9&lt;I$4+7),$E9&amp;IF(AND(ISNUMBER($F9),$G9&gt;$F9)," !",""),"")</f>
        <v/>
      </c>
      <c r="J9" s="22" t="str">
        <f aca="false">IF(AND(ISNUMBER($G9),$G9&gt;=J$4,$G9&lt;J$4+7),$E9&amp;IF(AND(ISNUMBER($F9),$G9&gt;$F9)," !",""),"")</f>
        <v/>
      </c>
      <c r="K9" s="22" t="str">
        <f aca="false">IF(AND(ISNUMBER($G9),$G9&gt;=K$4,$G9&lt;K$4+7),$E9&amp;IF(AND(ISNUMBER($F9),$G9&gt;$F9)," !",""),"")</f>
        <v/>
      </c>
      <c r="L9" s="22" t="str">
        <f aca="false">IF(AND(ISNUMBER($G9),$G9&gt;=L$4,$G9&lt;L$4+7),$E9&amp;IF(AND(ISNUMBER($F9),$G9&gt;$F9)," !",""),"")</f>
        <v>РИ</v>
      </c>
      <c r="M9" s="22" t="str">
        <f aca="false">IF(AND(ISNUMBER($G9),$G9&gt;=M$4,$G9&lt;M$4+7),$E9&amp;IF(AND(ISNUMBER($F9),$G9&gt;$F9)," !",""),"")</f>
        <v/>
      </c>
      <c r="N9" s="22" t="str">
        <f aca="false">IF(AND(ISNUMBER($G9),$G9&gt;=N$4,$G9&lt;N$4+7),$E9&amp;IF(AND(ISNUMBER($F9),$G9&gt;$F9)," !",""),"")</f>
        <v/>
      </c>
      <c r="O9" s="22" t="str">
        <f aca="false">IF(AND(ISNUMBER($G9),$G9&gt;=O$4,$G9&lt;O$4+7),$E9&amp;IF(AND(ISNUMBER($F9),$G9&gt;$F9)," !",""),"")</f>
        <v/>
      </c>
      <c r="P9" s="22" t="str">
        <f aca="false">IF(AND(ISNUMBER($G9),$G9&gt;=P$4,$G9&lt;P$4+7),$E9&amp;IF(AND(ISNUMBER($F9),$G9&gt;$F9)," !",""),"")</f>
        <v/>
      </c>
      <c r="Q9" s="22" t="str">
        <f aca="false">IF(AND(ISNUMBER($G9),$G9&gt;=Q$4,$G9&lt;Q$4+7),$E9&amp;IF(AND(ISNUMBER($F9),$G9&gt;$F9)," !",""),"")</f>
        <v/>
      </c>
      <c r="R9" s="22" t="str">
        <f aca="false">IF(AND(ISNUMBER($G9),$G9&gt;=R$4,$G9&lt;R$4+7),$E9&amp;IF(AND(ISNUMBER($F9),$G9&gt;$F9)," !",""),"")</f>
        <v/>
      </c>
      <c r="S9" s="22" t="str">
        <f aca="false">IF(AND(ISNUMBER($G9),$G9&gt;=S$4,$G9&lt;S$4+7),$E9&amp;IF(AND(ISNUMBER($F9),$G9&gt;$F9)," !",""),"")</f>
        <v/>
      </c>
    </row>
    <row r="10" customFormat="false" ht="15" hidden="false" customHeight="false" outlineLevel="0" collapsed="false">
      <c r="A10" s="18" t="n">
        <f aca="false">Рейтинг!A10</f>
        <v>6</v>
      </c>
      <c r="B10" s="18" t="str">
        <f aca="false">Рейтинг!B10</f>
        <v>3312</v>
      </c>
      <c r="C10" s="19" t="str">
        <f aca="false">Рейтинг!C10</f>
        <v>Восточное</v>
      </c>
      <c r="D10" s="20" t="n">
        <f aca="false">Рейтинг!Q10</f>
        <v>69</v>
      </c>
      <c r="E10" s="18" t="str">
        <f aca="false">IF(Рейтинг!Q10="","",IF(Рейтинг!Q10&gt;=Параметры!$C$10,Параметры!$B$10,IF(Рейтинг!Q10&gt;Параметры!$D$12,Параметры!$B$11,IF(Рейтинг!Q10&gt;=Параметры!$C$12,Параметры!$B$12,""))))</f>
        <v>РИ</v>
      </c>
      <c r="F10" s="21" t="n">
        <f aca="false">Рейтинг!U10</f>
        <v>46339</v>
      </c>
      <c r="G10" s="21" t="n">
        <f aca="false">IF(Рейтинг!V10="","",Рейтинг!V10)</f>
        <v>46342</v>
      </c>
      <c r="H10" s="22" t="str">
        <f aca="false">IF(AND(ISNUMBER($G10),$G10&gt;=H$4,$G10&lt;H$4+7),$E10&amp;IF(AND(ISNUMBER($F10),$G10&gt;$F10)," !",""),"")</f>
        <v/>
      </c>
      <c r="I10" s="22" t="str">
        <f aca="false">IF(AND(ISNUMBER($G10),$G10&gt;=I$4,$G10&lt;I$4+7),$E10&amp;IF(AND(ISNUMBER($F10),$G10&gt;$F10)," !",""),"")</f>
        <v/>
      </c>
      <c r="J10" s="22" t="str">
        <f aca="false">IF(AND(ISNUMBER($G10),$G10&gt;=J$4,$G10&lt;J$4+7),$E10&amp;IF(AND(ISNUMBER($F10),$G10&gt;$F10)," !",""),"")</f>
        <v/>
      </c>
      <c r="K10" s="22" t="str">
        <f aca="false">IF(AND(ISNUMBER($G10),$G10&gt;=K$4,$G10&lt;K$4+7),$E10&amp;IF(AND(ISNUMBER($F10),$G10&gt;$F10)," !",""),"")</f>
        <v/>
      </c>
      <c r="L10" s="22" t="str">
        <f aca="false">IF(AND(ISNUMBER($G10),$G10&gt;=L$4,$G10&lt;L$4+7),$E10&amp;IF(AND(ISNUMBER($F10),$G10&gt;$F10)," !",""),"")</f>
        <v/>
      </c>
      <c r="M10" s="22" t="str">
        <f aca="false">IF(AND(ISNUMBER($G10),$G10&gt;=M$4,$G10&lt;M$4+7),$E10&amp;IF(AND(ISNUMBER($F10),$G10&gt;$F10)," !",""),"")</f>
        <v>РИ !</v>
      </c>
      <c r="N10" s="22" t="str">
        <f aca="false">IF(AND(ISNUMBER($G10),$G10&gt;=N$4,$G10&lt;N$4+7),$E10&amp;IF(AND(ISNUMBER($F10),$G10&gt;$F10)," !",""),"")</f>
        <v/>
      </c>
      <c r="O10" s="22" t="str">
        <f aca="false">IF(AND(ISNUMBER($G10),$G10&gt;=O$4,$G10&lt;O$4+7),$E10&amp;IF(AND(ISNUMBER($F10),$G10&gt;$F10)," !",""),"")</f>
        <v/>
      </c>
      <c r="P10" s="22" t="str">
        <f aca="false">IF(AND(ISNUMBER($G10),$G10&gt;=P$4,$G10&lt;P$4+7),$E10&amp;IF(AND(ISNUMBER($F10),$G10&gt;$F10)," !",""),"")</f>
        <v/>
      </c>
      <c r="Q10" s="22" t="str">
        <f aca="false">IF(AND(ISNUMBER($G10),$G10&gt;=Q$4,$G10&lt;Q$4+7),$E10&amp;IF(AND(ISNUMBER($F10),$G10&gt;$F10)," !",""),"")</f>
        <v/>
      </c>
      <c r="R10" s="22" t="str">
        <f aca="false">IF(AND(ISNUMBER($G10),$G10&gt;=R$4,$G10&lt;R$4+7),$E10&amp;IF(AND(ISNUMBER($F10),$G10&gt;$F10)," !",""),"")</f>
        <v/>
      </c>
      <c r="S10" s="22" t="str">
        <f aca="false">IF(AND(ISNUMBER($G10),$G10&gt;=S$4,$G10&lt;S$4+7),$E10&amp;IF(AND(ISNUMBER($F10),$G10&gt;$F10)," !",""),"")</f>
        <v/>
      </c>
    </row>
    <row r="11" customFormat="false" ht="15" hidden="false" customHeight="false" outlineLevel="0" collapsed="false">
      <c r="A11" s="18" t="n">
        <f aca="false">Рейтинг!A11</f>
        <v>7</v>
      </c>
      <c r="B11" s="18" t="str">
        <f aca="false">Рейтинг!B11</f>
        <v>1102</v>
      </c>
      <c r="C11" s="19" t="str">
        <f aca="false">Рейтинг!C11</f>
        <v>Северное</v>
      </c>
      <c r="D11" s="20" t="n">
        <f aca="false">Рейтинг!Q11</f>
        <v>64</v>
      </c>
      <c r="E11" s="18" t="str">
        <f aca="false">IF(Рейтинг!Q11="","",IF(Рейтинг!Q11&gt;=Параметры!$C$10,Параметры!$B$10,IF(Рейтинг!Q11&gt;Параметры!$D$12,Параметры!$B$11,IF(Рейтинг!Q11&gt;=Параметры!$C$12,Параметры!$B$12,""))))</f>
        <v>РИ</v>
      </c>
      <c r="F11" s="21" t="n">
        <f aca="false">Рейтинг!U11</f>
        <v>46339</v>
      </c>
      <c r="G11" s="21" t="n">
        <f aca="false">IF(Рейтинг!V11="","",Рейтинг!V11)</f>
        <v>46338</v>
      </c>
      <c r="H11" s="22" t="str">
        <f aca="false">IF(AND(ISNUMBER($G11),$G11&gt;=H$4,$G11&lt;H$4+7),$E11&amp;IF(AND(ISNUMBER($F11),$G11&gt;$F11)," !",""),"")</f>
        <v/>
      </c>
      <c r="I11" s="22" t="str">
        <f aca="false">IF(AND(ISNUMBER($G11),$G11&gt;=I$4,$G11&lt;I$4+7),$E11&amp;IF(AND(ISNUMBER($F11),$G11&gt;$F11)," !",""),"")</f>
        <v/>
      </c>
      <c r="J11" s="22" t="str">
        <f aca="false">IF(AND(ISNUMBER($G11),$G11&gt;=J$4,$G11&lt;J$4+7),$E11&amp;IF(AND(ISNUMBER($F11),$G11&gt;$F11)," !",""),"")</f>
        <v/>
      </c>
      <c r="K11" s="22" t="str">
        <f aca="false">IF(AND(ISNUMBER($G11),$G11&gt;=K$4,$G11&lt;K$4+7),$E11&amp;IF(AND(ISNUMBER($F11),$G11&gt;$F11)," !",""),"")</f>
        <v/>
      </c>
      <c r="L11" s="22" t="str">
        <f aca="false">IF(AND(ISNUMBER($G11),$G11&gt;=L$4,$G11&lt;L$4+7),$E11&amp;IF(AND(ISNUMBER($F11),$G11&gt;$F11)," !",""),"")</f>
        <v>РИ</v>
      </c>
      <c r="M11" s="22" t="str">
        <f aca="false">IF(AND(ISNUMBER($G11),$G11&gt;=M$4,$G11&lt;M$4+7),$E11&amp;IF(AND(ISNUMBER($F11),$G11&gt;$F11)," !",""),"")</f>
        <v/>
      </c>
      <c r="N11" s="22" t="str">
        <f aca="false">IF(AND(ISNUMBER($G11),$G11&gt;=N$4,$G11&lt;N$4+7),$E11&amp;IF(AND(ISNUMBER($F11),$G11&gt;$F11)," !",""),"")</f>
        <v/>
      </c>
      <c r="O11" s="22" t="str">
        <f aca="false">IF(AND(ISNUMBER($G11),$G11&gt;=O$4,$G11&lt;O$4+7),$E11&amp;IF(AND(ISNUMBER($F11),$G11&gt;$F11)," !",""),"")</f>
        <v/>
      </c>
      <c r="P11" s="22" t="str">
        <f aca="false">IF(AND(ISNUMBER($G11),$G11&gt;=P$4,$G11&lt;P$4+7),$E11&amp;IF(AND(ISNUMBER($F11),$G11&gt;$F11)," !",""),"")</f>
        <v/>
      </c>
      <c r="Q11" s="22" t="str">
        <f aca="false">IF(AND(ISNUMBER($G11),$G11&gt;=Q$4,$G11&lt;Q$4+7),$E11&amp;IF(AND(ISNUMBER($F11),$G11&gt;$F11)," !",""),"")</f>
        <v/>
      </c>
      <c r="R11" s="22" t="str">
        <f aca="false">IF(AND(ISNUMBER($G11),$G11&gt;=R$4,$G11&lt;R$4+7),$E11&amp;IF(AND(ISNUMBER($F11),$G11&gt;$F11)," !",""),"")</f>
        <v/>
      </c>
      <c r="S11" s="22" t="str">
        <f aca="false">IF(AND(ISNUMBER($G11),$G11&gt;=S$4,$G11&lt;S$4+7),$E11&amp;IF(AND(ISNUMBER($F11),$G11&gt;$F11)," !",""),"")</f>
        <v/>
      </c>
    </row>
    <row r="12" customFormat="false" ht="15" hidden="false" customHeight="false" outlineLevel="0" collapsed="false">
      <c r="A12" s="18" t="n">
        <f aca="false">Рейтинг!A12</f>
        <v>8</v>
      </c>
      <c r="B12" s="18" t="str">
        <f aca="false">Рейтинг!B12</f>
        <v>2208</v>
      </c>
      <c r="C12" s="19" t="str">
        <f aca="false">Рейтинг!C12</f>
        <v>Озёрное</v>
      </c>
      <c r="D12" s="20" t="n">
        <f aca="false">Рейтинг!Q12</f>
        <v>58</v>
      </c>
      <c r="E12" s="18" t="str">
        <f aca="false">IF(Рейтинг!Q12="","",IF(Рейтинг!Q12&gt;=Параметры!$C$10,Параметры!$B$10,IF(Рейтинг!Q12&gt;Параметры!$D$12,Параметры!$B$11,IF(Рейтинг!Q12&gt;=Параметры!$C$12,Параметры!$B$12,""))))</f>
        <v>УД</v>
      </c>
      <c r="F12" s="21" t="n">
        <f aca="false">Рейтинг!U12</f>
        <v>46354</v>
      </c>
      <c r="G12" s="21" t="n">
        <f aca="false">IF(Рейтинг!V12="","",Рейтинг!V12)</f>
        <v>46328</v>
      </c>
      <c r="H12" s="22" t="str">
        <f aca="false">IF(AND(ISNUMBER($G12),$G12&gt;=H$4,$G12&lt;H$4+7),$E12&amp;IF(AND(ISNUMBER($F12),$G12&gt;$F12)," !",""),"")</f>
        <v/>
      </c>
      <c r="I12" s="22" t="str">
        <f aca="false">IF(AND(ISNUMBER($G12),$G12&gt;=I$4,$G12&lt;I$4+7),$E12&amp;IF(AND(ISNUMBER($F12),$G12&gt;$F12)," !",""),"")</f>
        <v/>
      </c>
      <c r="J12" s="22" t="str">
        <f aca="false">IF(AND(ISNUMBER($G12),$G12&gt;=J$4,$G12&lt;J$4+7),$E12&amp;IF(AND(ISNUMBER($F12),$G12&gt;$F12)," !",""),"")</f>
        <v/>
      </c>
      <c r="K12" s="22" t="str">
        <f aca="false">IF(AND(ISNUMBER($G12),$G12&gt;=K$4,$G12&lt;K$4+7),$E12&amp;IF(AND(ISNUMBER($F12),$G12&gt;$F12)," !",""),"")</f>
        <v>УД</v>
      </c>
      <c r="L12" s="22" t="str">
        <f aca="false">IF(AND(ISNUMBER($G12),$G12&gt;=L$4,$G12&lt;L$4+7),$E12&amp;IF(AND(ISNUMBER($F12),$G12&gt;$F12)," !",""),"")</f>
        <v/>
      </c>
      <c r="M12" s="22" t="str">
        <f aca="false">IF(AND(ISNUMBER($G12),$G12&gt;=M$4,$G12&lt;M$4+7),$E12&amp;IF(AND(ISNUMBER($F12),$G12&gt;$F12)," !",""),"")</f>
        <v/>
      </c>
      <c r="N12" s="22" t="str">
        <f aca="false">IF(AND(ISNUMBER($G12),$G12&gt;=N$4,$G12&lt;N$4+7),$E12&amp;IF(AND(ISNUMBER($F12),$G12&gt;$F12)," !",""),"")</f>
        <v/>
      </c>
      <c r="O12" s="22" t="str">
        <f aca="false">IF(AND(ISNUMBER($G12),$G12&gt;=O$4,$G12&lt;O$4+7),$E12&amp;IF(AND(ISNUMBER($F12),$G12&gt;$F12)," !",""),"")</f>
        <v/>
      </c>
      <c r="P12" s="22" t="str">
        <f aca="false">IF(AND(ISNUMBER($G12),$G12&gt;=P$4,$G12&lt;P$4+7),$E12&amp;IF(AND(ISNUMBER($F12),$G12&gt;$F12)," !",""),"")</f>
        <v/>
      </c>
      <c r="Q12" s="22" t="str">
        <f aca="false">IF(AND(ISNUMBER($G12),$G12&gt;=Q$4,$G12&lt;Q$4+7),$E12&amp;IF(AND(ISNUMBER($F12),$G12&gt;$F12)," !",""),"")</f>
        <v/>
      </c>
      <c r="R12" s="22" t="str">
        <f aca="false">IF(AND(ISNUMBER($G12),$G12&gt;=R$4,$G12&lt;R$4+7),$E12&amp;IF(AND(ISNUMBER($F12),$G12&gt;$F12)," !",""),"")</f>
        <v/>
      </c>
      <c r="S12" s="22" t="str">
        <f aca="false">IF(AND(ISNUMBER($G12),$G12&gt;=S$4,$G12&lt;S$4+7),$E12&amp;IF(AND(ISNUMBER($F12),$G12&gt;$F12)," !",""),"")</f>
        <v/>
      </c>
    </row>
    <row r="13" customFormat="false" ht="15" hidden="false" customHeight="false" outlineLevel="0" collapsed="false">
      <c r="A13" s="18" t="n">
        <f aca="false">Рейтинг!A13</f>
        <v>9</v>
      </c>
      <c r="B13" s="18" t="str">
        <f aca="false">Рейтинг!B13</f>
        <v>3320</v>
      </c>
      <c r="C13" s="19" t="str">
        <f aca="false">Рейтинг!C13</f>
        <v>Восточное</v>
      </c>
      <c r="D13" s="20" t="n">
        <f aca="false">Рейтинг!Q13</f>
        <v>55</v>
      </c>
      <c r="E13" s="18" t="str">
        <f aca="false">IF(Рейтинг!Q13="","",IF(Рейтинг!Q13&gt;=Параметры!$C$10,Параметры!$B$10,IF(Рейтинг!Q13&gt;Параметры!$D$12,Параметры!$B$11,IF(Рейтинг!Q13&gt;=Параметры!$C$12,Параметры!$B$12,""))))</f>
        <v>УД</v>
      </c>
      <c r="F13" s="21" t="n">
        <f aca="false">Рейтинг!U13</f>
        <v>46354</v>
      </c>
      <c r="G13" s="21" t="n">
        <f aca="false">IF(Рейтинг!V13="","",Рейтинг!V13)</f>
        <v>46337</v>
      </c>
      <c r="H13" s="22" t="str">
        <f aca="false">IF(AND(ISNUMBER($G13),$G13&gt;=H$4,$G13&lt;H$4+7),$E13&amp;IF(AND(ISNUMBER($F13),$G13&gt;$F13)," !",""),"")</f>
        <v/>
      </c>
      <c r="I13" s="22" t="str">
        <f aca="false">IF(AND(ISNUMBER($G13),$G13&gt;=I$4,$G13&lt;I$4+7),$E13&amp;IF(AND(ISNUMBER($F13),$G13&gt;$F13)," !",""),"")</f>
        <v/>
      </c>
      <c r="J13" s="22" t="str">
        <f aca="false">IF(AND(ISNUMBER($G13),$G13&gt;=J$4,$G13&lt;J$4+7),$E13&amp;IF(AND(ISNUMBER($F13),$G13&gt;$F13)," !",""),"")</f>
        <v/>
      </c>
      <c r="K13" s="22" t="str">
        <f aca="false">IF(AND(ISNUMBER($G13),$G13&gt;=K$4,$G13&lt;K$4+7),$E13&amp;IF(AND(ISNUMBER($F13),$G13&gt;$F13)," !",""),"")</f>
        <v/>
      </c>
      <c r="L13" s="22" t="str">
        <f aca="false">IF(AND(ISNUMBER($G13),$G13&gt;=L$4,$G13&lt;L$4+7),$E13&amp;IF(AND(ISNUMBER($F13),$G13&gt;$F13)," !",""),"")</f>
        <v>УД</v>
      </c>
      <c r="M13" s="22" t="str">
        <f aca="false">IF(AND(ISNUMBER($G13),$G13&gt;=M$4,$G13&lt;M$4+7),$E13&amp;IF(AND(ISNUMBER($F13),$G13&gt;$F13)," !",""),"")</f>
        <v/>
      </c>
      <c r="N13" s="22" t="str">
        <f aca="false">IF(AND(ISNUMBER($G13),$G13&gt;=N$4,$G13&lt;N$4+7),$E13&amp;IF(AND(ISNUMBER($F13),$G13&gt;$F13)," !",""),"")</f>
        <v/>
      </c>
      <c r="O13" s="22" t="str">
        <f aca="false">IF(AND(ISNUMBER($G13),$G13&gt;=O$4,$G13&lt;O$4+7),$E13&amp;IF(AND(ISNUMBER($F13),$G13&gt;$F13)," !",""),"")</f>
        <v/>
      </c>
      <c r="P13" s="22" t="str">
        <f aca="false">IF(AND(ISNUMBER($G13),$G13&gt;=P$4,$G13&lt;P$4+7),$E13&amp;IF(AND(ISNUMBER($F13),$G13&gt;$F13)," !",""),"")</f>
        <v/>
      </c>
      <c r="Q13" s="22" t="str">
        <f aca="false">IF(AND(ISNUMBER($G13),$G13&gt;=Q$4,$G13&lt;Q$4+7),$E13&amp;IF(AND(ISNUMBER($F13),$G13&gt;$F13)," !",""),"")</f>
        <v/>
      </c>
      <c r="R13" s="22" t="str">
        <f aca="false">IF(AND(ISNUMBER($G13),$G13&gt;=R$4,$G13&lt;R$4+7),$E13&amp;IF(AND(ISNUMBER($F13),$G13&gt;$F13)," !",""),"")</f>
        <v/>
      </c>
      <c r="S13" s="22" t="str">
        <f aca="false">IF(AND(ISNUMBER($G13),$G13&gt;=S$4,$G13&lt;S$4+7),$E13&amp;IF(AND(ISNUMBER($F13),$G13&gt;$F13)," !",""),"")</f>
        <v/>
      </c>
    </row>
    <row r="14" customFormat="false" ht="15" hidden="false" customHeight="false" outlineLevel="0" collapsed="false">
      <c r="A14" s="18" t="n">
        <f aca="false">Рейтинг!A14</f>
        <v>10</v>
      </c>
      <c r="B14" s="18" t="str">
        <f aca="false">Рейтинг!B14</f>
        <v>1158</v>
      </c>
      <c r="C14" s="19" t="str">
        <f aca="false">Рейтинг!C14</f>
        <v>Северное</v>
      </c>
      <c r="D14" s="20" t="n">
        <f aca="false">Рейтинг!Q14</f>
        <v>51</v>
      </c>
      <c r="E14" s="18" t="str">
        <f aca="false">IF(Рейтинг!Q14="","",IF(Рейтинг!Q14&gt;=Параметры!$C$10,Параметры!$B$10,IF(Рейтинг!Q14&gt;Параметры!$D$12,Параметры!$B$11,IF(Рейтинг!Q14&gt;=Параметры!$C$12,Параметры!$B$12,""))))</f>
        <v>УД</v>
      </c>
      <c r="F14" s="21" t="n">
        <f aca="false">Рейтинг!U14</f>
        <v>46354</v>
      </c>
      <c r="G14" s="21" t="n">
        <f aca="false">IF(Рейтинг!V14="","",Рейтинг!V14)</f>
        <v>46344</v>
      </c>
      <c r="H14" s="22" t="str">
        <f aca="false">IF(AND(ISNUMBER($G14),$G14&gt;=H$4,$G14&lt;H$4+7),$E14&amp;IF(AND(ISNUMBER($F14),$G14&gt;$F14)," !",""),"")</f>
        <v/>
      </c>
      <c r="I14" s="22" t="str">
        <f aca="false">IF(AND(ISNUMBER($G14),$G14&gt;=I$4,$G14&lt;I$4+7),$E14&amp;IF(AND(ISNUMBER($F14),$G14&gt;$F14)," !",""),"")</f>
        <v/>
      </c>
      <c r="J14" s="22" t="str">
        <f aca="false">IF(AND(ISNUMBER($G14),$G14&gt;=J$4,$G14&lt;J$4+7),$E14&amp;IF(AND(ISNUMBER($F14),$G14&gt;$F14)," !",""),"")</f>
        <v/>
      </c>
      <c r="K14" s="22" t="str">
        <f aca="false">IF(AND(ISNUMBER($G14),$G14&gt;=K$4,$G14&lt;K$4+7),$E14&amp;IF(AND(ISNUMBER($F14),$G14&gt;$F14)," !",""),"")</f>
        <v/>
      </c>
      <c r="L14" s="22" t="str">
        <f aca="false">IF(AND(ISNUMBER($G14),$G14&gt;=L$4,$G14&lt;L$4+7),$E14&amp;IF(AND(ISNUMBER($F14),$G14&gt;$F14)," !",""),"")</f>
        <v/>
      </c>
      <c r="M14" s="22" t="str">
        <f aca="false">IF(AND(ISNUMBER($G14),$G14&gt;=M$4,$G14&lt;M$4+7),$E14&amp;IF(AND(ISNUMBER($F14),$G14&gt;$F14)," !",""),"")</f>
        <v>УД</v>
      </c>
      <c r="N14" s="22" t="str">
        <f aca="false">IF(AND(ISNUMBER($G14),$G14&gt;=N$4,$G14&lt;N$4+7),$E14&amp;IF(AND(ISNUMBER($F14),$G14&gt;$F14)," !",""),"")</f>
        <v/>
      </c>
      <c r="O14" s="22" t="str">
        <f aca="false">IF(AND(ISNUMBER($G14),$G14&gt;=O$4,$G14&lt;O$4+7),$E14&amp;IF(AND(ISNUMBER($F14),$G14&gt;$F14)," !",""),"")</f>
        <v/>
      </c>
      <c r="P14" s="22" t="str">
        <f aca="false">IF(AND(ISNUMBER($G14),$G14&gt;=P$4,$G14&lt;P$4+7),$E14&amp;IF(AND(ISNUMBER($F14),$G14&gt;$F14)," !",""),"")</f>
        <v/>
      </c>
      <c r="Q14" s="22" t="str">
        <f aca="false">IF(AND(ISNUMBER($G14),$G14&gt;=Q$4,$G14&lt;Q$4+7),$E14&amp;IF(AND(ISNUMBER($F14),$G14&gt;$F14)," !",""),"")</f>
        <v/>
      </c>
      <c r="R14" s="22" t="str">
        <f aca="false">IF(AND(ISNUMBER($G14),$G14&gt;=R$4,$G14&lt;R$4+7),$E14&amp;IF(AND(ISNUMBER($F14),$G14&gt;$F14)," !",""),"")</f>
        <v/>
      </c>
      <c r="S14" s="22" t="str">
        <f aca="false">IF(AND(ISNUMBER($G14),$G14&gt;=S$4,$G14&lt;S$4+7),$E14&amp;IF(AND(ISNUMBER($F14),$G14&gt;$F14)," !",""),"")</f>
        <v/>
      </c>
    </row>
    <row r="15" customFormat="false" ht="15" hidden="false" customHeight="false" outlineLevel="0" collapsed="false">
      <c r="A15" s="18" t="n">
        <f aca="false">Рейтинг!A15</f>
        <v>11</v>
      </c>
      <c r="B15" s="18" t="str">
        <f aca="false">Рейтинг!B15</f>
        <v>2219</v>
      </c>
      <c r="C15" s="19" t="str">
        <f aca="false">Рейтинг!C15</f>
        <v>Озёрное</v>
      </c>
      <c r="D15" s="20" t="n">
        <f aca="false">Рейтинг!Q15</f>
        <v>47</v>
      </c>
      <c r="E15" s="18" t="str">
        <f aca="false">IF(Рейтинг!Q15="","",IF(Рейтинг!Q15&gt;=Параметры!$C$10,Параметры!$B$10,IF(Рейтинг!Q15&gt;Параметры!$D$12,Параметры!$B$11,IF(Рейтинг!Q15&gt;=Параметры!$C$12,Параметры!$B$12,""))))</f>
        <v>УД</v>
      </c>
      <c r="F15" s="21" t="n">
        <f aca="false">Рейтинг!U15</f>
        <v>46354</v>
      </c>
      <c r="G15" s="21" t="n">
        <f aca="false">IF(Рейтинг!V15="","",Рейтинг!V15)</f>
        <v>46351</v>
      </c>
      <c r="H15" s="22" t="str">
        <f aca="false">IF(AND(ISNUMBER($G15),$G15&gt;=H$4,$G15&lt;H$4+7),$E15&amp;IF(AND(ISNUMBER($F15),$G15&gt;$F15)," !",""),"")</f>
        <v/>
      </c>
      <c r="I15" s="22" t="str">
        <f aca="false">IF(AND(ISNUMBER($G15),$G15&gt;=I$4,$G15&lt;I$4+7),$E15&amp;IF(AND(ISNUMBER($F15),$G15&gt;$F15)," !",""),"")</f>
        <v/>
      </c>
      <c r="J15" s="22" t="str">
        <f aca="false">IF(AND(ISNUMBER($G15),$G15&gt;=J$4,$G15&lt;J$4+7),$E15&amp;IF(AND(ISNUMBER($F15),$G15&gt;$F15)," !",""),"")</f>
        <v/>
      </c>
      <c r="K15" s="22" t="str">
        <f aca="false">IF(AND(ISNUMBER($G15),$G15&gt;=K$4,$G15&lt;K$4+7),$E15&amp;IF(AND(ISNUMBER($F15),$G15&gt;$F15)," !",""),"")</f>
        <v/>
      </c>
      <c r="L15" s="22" t="str">
        <f aca="false">IF(AND(ISNUMBER($G15),$G15&gt;=L$4,$G15&lt;L$4+7),$E15&amp;IF(AND(ISNUMBER($F15),$G15&gt;$F15)," !",""),"")</f>
        <v/>
      </c>
      <c r="M15" s="22" t="str">
        <f aca="false">IF(AND(ISNUMBER($G15),$G15&gt;=M$4,$G15&lt;M$4+7),$E15&amp;IF(AND(ISNUMBER($F15),$G15&gt;$F15)," !",""),"")</f>
        <v/>
      </c>
      <c r="N15" s="22" t="str">
        <f aca="false">IF(AND(ISNUMBER($G15),$G15&gt;=N$4,$G15&lt;N$4+7),$E15&amp;IF(AND(ISNUMBER($F15),$G15&gt;$F15)," !",""),"")</f>
        <v>УД</v>
      </c>
      <c r="O15" s="22" t="str">
        <f aca="false">IF(AND(ISNUMBER($G15),$G15&gt;=O$4,$G15&lt;O$4+7),$E15&amp;IF(AND(ISNUMBER($F15),$G15&gt;$F15)," !",""),"")</f>
        <v/>
      </c>
      <c r="P15" s="22" t="str">
        <f aca="false">IF(AND(ISNUMBER($G15),$G15&gt;=P$4,$G15&lt;P$4+7),$E15&amp;IF(AND(ISNUMBER($F15),$G15&gt;$F15)," !",""),"")</f>
        <v/>
      </c>
      <c r="Q15" s="22" t="str">
        <f aca="false">IF(AND(ISNUMBER($G15),$G15&gt;=Q$4,$G15&lt;Q$4+7),$E15&amp;IF(AND(ISNUMBER($F15),$G15&gt;$F15)," !",""),"")</f>
        <v/>
      </c>
      <c r="R15" s="22" t="str">
        <f aca="false">IF(AND(ISNUMBER($G15),$G15&gt;=R$4,$G15&lt;R$4+7),$E15&amp;IF(AND(ISNUMBER($F15),$G15&gt;$F15)," !",""),"")</f>
        <v/>
      </c>
      <c r="S15" s="22" t="str">
        <f aca="false">IF(AND(ISNUMBER($G15),$G15&gt;=S$4,$G15&lt;S$4+7),$E15&amp;IF(AND(ISNUMBER($F15),$G15&gt;$F15)," !",""),"")</f>
        <v/>
      </c>
    </row>
    <row r="16" customFormat="false" ht="15" hidden="false" customHeight="false" outlineLevel="0" collapsed="false">
      <c r="A16" s="18" t="n">
        <f aca="false">Рейтинг!A16</f>
        <v>12</v>
      </c>
      <c r="B16" s="18" t="str">
        <f aca="false">Рейтинг!B16</f>
        <v>3301</v>
      </c>
      <c r="C16" s="19" t="str">
        <f aca="false">Рейтинг!C16</f>
        <v>Восточное</v>
      </c>
      <c r="D16" s="20" t="n">
        <f aca="false">Рейтинг!Q16</f>
        <v>44</v>
      </c>
      <c r="E16" s="18" t="str">
        <f aca="false">IF(Рейтинг!Q16="","",IF(Рейтинг!Q16&gt;=Параметры!$C$10,Параметры!$B$10,IF(Рейтинг!Q16&gt;Параметры!$D$12,Параметры!$B$11,IF(Рейтинг!Q16&gt;=Параметры!$C$12,Параметры!$B$12,""))))</f>
        <v>УД</v>
      </c>
      <c r="F16" s="21" t="n">
        <f aca="false">Рейтинг!U16</f>
        <v>46354</v>
      </c>
      <c r="G16" s="21" t="str">
        <f aca="false">IF(Рейтинг!V16="","",Рейтинг!V16)</f>
        <v/>
      </c>
      <c r="H16" s="22" t="str">
        <f aca="false">IF(AND(ISNUMBER($G16),$G16&gt;=H$4,$G16&lt;H$4+7),$E16&amp;IF(AND(ISNUMBER($F16),$G16&gt;$F16)," !",""),"")</f>
        <v/>
      </c>
      <c r="I16" s="22" t="str">
        <f aca="false">IF(AND(ISNUMBER($G16),$G16&gt;=I$4,$G16&lt;I$4+7),$E16&amp;IF(AND(ISNUMBER($F16),$G16&gt;$F16)," !",""),"")</f>
        <v/>
      </c>
      <c r="J16" s="22" t="str">
        <f aca="false">IF(AND(ISNUMBER($G16),$G16&gt;=J$4,$G16&lt;J$4+7),$E16&amp;IF(AND(ISNUMBER($F16),$G16&gt;$F16)," !",""),"")</f>
        <v/>
      </c>
      <c r="K16" s="22" t="str">
        <f aca="false">IF(AND(ISNUMBER($G16),$G16&gt;=K$4,$G16&lt;K$4+7),$E16&amp;IF(AND(ISNUMBER($F16),$G16&gt;$F16)," !",""),"")</f>
        <v/>
      </c>
      <c r="L16" s="22" t="str">
        <f aca="false">IF(AND(ISNUMBER($G16),$G16&gt;=L$4,$G16&lt;L$4+7),$E16&amp;IF(AND(ISNUMBER($F16),$G16&gt;$F16)," !",""),"")</f>
        <v/>
      </c>
      <c r="M16" s="22" t="str">
        <f aca="false">IF(AND(ISNUMBER($G16),$G16&gt;=M$4,$G16&lt;M$4+7),$E16&amp;IF(AND(ISNUMBER($F16),$G16&gt;$F16)," !",""),"")</f>
        <v/>
      </c>
      <c r="N16" s="22" t="str">
        <f aca="false">IF(AND(ISNUMBER($G16),$G16&gt;=N$4,$G16&lt;N$4+7),$E16&amp;IF(AND(ISNUMBER($F16),$G16&gt;$F16)," !",""),"")</f>
        <v/>
      </c>
      <c r="O16" s="22" t="str">
        <f aca="false">IF(AND(ISNUMBER($G16),$G16&gt;=O$4,$G16&lt;O$4+7),$E16&amp;IF(AND(ISNUMBER($F16),$G16&gt;$F16)," !",""),"")</f>
        <v/>
      </c>
      <c r="P16" s="22" t="str">
        <f aca="false">IF(AND(ISNUMBER($G16),$G16&gt;=P$4,$G16&lt;P$4+7),$E16&amp;IF(AND(ISNUMBER($F16),$G16&gt;$F16)," !",""),"")</f>
        <v/>
      </c>
      <c r="Q16" s="22" t="str">
        <f aca="false">IF(AND(ISNUMBER($G16),$G16&gt;=Q$4,$G16&lt;Q$4+7),$E16&amp;IF(AND(ISNUMBER($F16),$G16&gt;$F16)," !",""),"")</f>
        <v/>
      </c>
      <c r="R16" s="22" t="str">
        <f aca="false">IF(AND(ISNUMBER($G16),$G16&gt;=R$4,$G16&lt;R$4+7),$E16&amp;IF(AND(ISNUMBER($F16),$G16&gt;$F16)," !",""),"")</f>
        <v/>
      </c>
      <c r="S16" s="22" t="str">
        <f aca="false">IF(AND(ISNUMBER($G16),$G16&gt;=S$4,$G16&lt;S$4+7),$E16&amp;IF(AND(ISNUMBER($F16),$G16&gt;$F16)," !",""),"")</f>
        <v/>
      </c>
    </row>
    <row r="17" customFormat="false" ht="15" hidden="false" customHeight="false" outlineLevel="0" collapsed="false">
      <c r="A17" s="18" t="n">
        <f aca="false">Рейтинг!A17</f>
        <v>13</v>
      </c>
      <c r="B17" s="18" t="str">
        <f aca="false">Рейтинг!B17</f>
        <v>1077</v>
      </c>
      <c r="C17" s="19" t="str">
        <f aca="false">Рейтинг!C17</f>
        <v>Северное</v>
      </c>
      <c r="D17" s="20" t="n">
        <f aca="false">Рейтинг!Q17</f>
        <v>41</v>
      </c>
      <c r="E17" s="18" t="str">
        <f aca="false">IF(Рейтинг!Q17="","",IF(Рейтинг!Q17&gt;=Параметры!$C$10,Параметры!$B$10,IF(Рейтинг!Q17&gt;Параметры!$D$12,Параметры!$B$11,IF(Рейтинг!Q17&gt;=Параметры!$C$12,Параметры!$B$12,""))))</f>
        <v>УД</v>
      </c>
      <c r="F17" s="21" t="n">
        <f aca="false">Рейтинг!U17</f>
        <v>46354</v>
      </c>
      <c r="G17" s="21" t="n">
        <f aca="false">IF(Рейтинг!V17="","",Рейтинг!V17)</f>
        <v>46352</v>
      </c>
      <c r="H17" s="22" t="str">
        <f aca="false">IF(AND(ISNUMBER($G17),$G17&gt;=H$4,$G17&lt;H$4+7),$E17&amp;IF(AND(ISNUMBER($F17),$G17&gt;$F17)," !",""),"")</f>
        <v/>
      </c>
      <c r="I17" s="22" t="str">
        <f aca="false">IF(AND(ISNUMBER($G17),$G17&gt;=I$4,$G17&lt;I$4+7),$E17&amp;IF(AND(ISNUMBER($F17),$G17&gt;$F17)," !",""),"")</f>
        <v/>
      </c>
      <c r="J17" s="22" t="str">
        <f aca="false">IF(AND(ISNUMBER($G17),$G17&gt;=J$4,$G17&lt;J$4+7),$E17&amp;IF(AND(ISNUMBER($F17),$G17&gt;$F17)," !",""),"")</f>
        <v/>
      </c>
      <c r="K17" s="22" t="str">
        <f aca="false">IF(AND(ISNUMBER($G17),$G17&gt;=K$4,$G17&lt;K$4+7),$E17&amp;IF(AND(ISNUMBER($F17),$G17&gt;$F17)," !",""),"")</f>
        <v/>
      </c>
      <c r="L17" s="22" t="str">
        <f aca="false">IF(AND(ISNUMBER($G17),$G17&gt;=L$4,$G17&lt;L$4+7),$E17&amp;IF(AND(ISNUMBER($F17),$G17&gt;$F17)," !",""),"")</f>
        <v/>
      </c>
      <c r="M17" s="22" t="str">
        <f aca="false">IF(AND(ISNUMBER($G17),$G17&gt;=M$4,$G17&lt;M$4+7),$E17&amp;IF(AND(ISNUMBER($F17),$G17&gt;$F17)," !",""),"")</f>
        <v/>
      </c>
      <c r="N17" s="22" t="str">
        <f aca="false">IF(AND(ISNUMBER($G17),$G17&gt;=N$4,$G17&lt;N$4+7),$E17&amp;IF(AND(ISNUMBER($F17),$G17&gt;$F17)," !",""),"")</f>
        <v>УД</v>
      </c>
      <c r="O17" s="22" t="str">
        <f aca="false">IF(AND(ISNUMBER($G17),$G17&gt;=O$4,$G17&lt;O$4+7),$E17&amp;IF(AND(ISNUMBER($F17),$G17&gt;$F17)," !",""),"")</f>
        <v/>
      </c>
      <c r="P17" s="22" t="str">
        <f aca="false">IF(AND(ISNUMBER($G17),$G17&gt;=P$4,$G17&lt;P$4+7),$E17&amp;IF(AND(ISNUMBER($F17),$G17&gt;$F17)," !",""),"")</f>
        <v/>
      </c>
      <c r="Q17" s="22" t="str">
        <f aca="false">IF(AND(ISNUMBER($G17),$G17&gt;=Q$4,$G17&lt;Q$4+7),$E17&amp;IF(AND(ISNUMBER($F17),$G17&gt;$F17)," !",""),"")</f>
        <v/>
      </c>
      <c r="R17" s="22" t="str">
        <f aca="false">IF(AND(ISNUMBER($G17),$G17&gt;=R$4,$G17&lt;R$4+7),$E17&amp;IF(AND(ISNUMBER($F17),$G17&gt;$F17)," !",""),"")</f>
        <v/>
      </c>
      <c r="S17" s="22" t="str">
        <f aca="false">IF(AND(ISNUMBER($G17),$G17&gt;=S$4,$G17&lt;S$4+7),$E17&amp;IF(AND(ISNUMBER($F17),$G17&gt;$F17)," !",""),"")</f>
        <v/>
      </c>
    </row>
    <row r="18" customFormat="false" ht="15" hidden="false" customHeight="false" outlineLevel="0" collapsed="false">
      <c r="A18" s="18" t="n">
        <f aca="false">Рейтинг!A18</f>
        <v>14</v>
      </c>
      <c r="B18" s="18" t="str">
        <f aca="false">Рейтинг!B18</f>
        <v>2230</v>
      </c>
      <c r="C18" s="19" t="str">
        <f aca="false">Рейтинг!C18</f>
        <v>Озёрное</v>
      </c>
      <c r="D18" s="20" t="n">
        <f aca="false">Рейтинг!Q18</f>
        <v>37</v>
      </c>
      <c r="E18" s="18" t="str">
        <f aca="false">IF(Рейтинг!Q18="","",IF(Рейтинг!Q18&gt;=Параметры!$C$10,Параметры!$B$10,IF(Рейтинг!Q18&gt;Параметры!$D$12,Параметры!$B$11,IF(Рейтинг!Q18&gt;=Параметры!$C$12,Параметры!$B$12,""))))</f>
        <v/>
      </c>
      <c r="F18" s="21" t="str">
        <f aca="false">Рейтинг!U18</f>
        <v/>
      </c>
      <c r="G18" s="21" t="str">
        <f aca="false">IF(Рейтинг!V18="","",Рейтинг!V18)</f>
        <v/>
      </c>
      <c r="H18" s="22" t="str">
        <f aca="false">IF(AND(ISNUMBER($G18),$G18&gt;=H$4,$G18&lt;H$4+7),$E18&amp;IF(AND(ISNUMBER($F18),$G18&gt;$F18)," !",""),"")</f>
        <v/>
      </c>
      <c r="I18" s="22" t="str">
        <f aca="false">IF(AND(ISNUMBER($G18),$G18&gt;=I$4,$G18&lt;I$4+7),$E18&amp;IF(AND(ISNUMBER($F18),$G18&gt;$F18)," !",""),"")</f>
        <v/>
      </c>
      <c r="J18" s="22" t="str">
        <f aca="false">IF(AND(ISNUMBER($G18),$G18&gt;=J$4,$G18&lt;J$4+7),$E18&amp;IF(AND(ISNUMBER($F18),$G18&gt;$F18)," !",""),"")</f>
        <v/>
      </c>
      <c r="K18" s="22" t="str">
        <f aca="false">IF(AND(ISNUMBER($G18),$G18&gt;=K$4,$G18&lt;K$4+7),$E18&amp;IF(AND(ISNUMBER($F18),$G18&gt;$F18)," !",""),"")</f>
        <v/>
      </c>
      <c r="L18" s="22" t="str">
        <f aca="false">IF(AND(ISNUMBER($G18),$G18&gt;=L$4,$G18&lt;L$4+7),$E18&amp;IF(AND(ISNUMBER($F18),$G18&gt;$F18)," !",""),"")</f>
        <v/>
      </c>
      <c r="M18" s="22" t="str">
        <f aca="false">IF(AND(ISNUMBER($G18),$G18&gt;=M$4,$G18&lt;M$4+7),$E18&amp;IF(AND(ISNUMBER($F18),$G18&gt;$F18)," !",""),"")</f>
        <v/>
      </c>
      <c r="N18" s="22" t="str">
        <f aca="false">IF(AND(ISNUMBER($G18),$G18&gt;=N$4,$G18&lt;N$4+7),$E18&amp;IF(AND(ISNUMBER($F18),$G18&gt;$F18)," !",""),"")</f>
        <v/>
      </c>
      <c r="O18" s="22" t="str">
        <f aca="false">IF(AND(ISNUMBER($G18),$G18&gt;=O$4,$G18&lt;O$4+7),$E18&amp;IF(AND(ISNUMBER($F18),$G18&gt;$F18)," !",""),"")</f>
        <v/>
      </c>
      <c r="P18" s="22" t="str">
        <f aca="false">IF(AND(ISNUMBER($G18),$G18&gt;=P$4,$G18&lt;P$4+7),$E18&amp;IF(AND(ISNUMBER($F18),$G18&gt;$F18)," !",""),"")</f>
        <v/>
      </c>
      <c r="Q18" s="22" t="str">
        <f aca="false">IF(AND(ISNUMBER($G18),$G18&gt;=Q$4,$G18&lt;Q$4+7),$E18&amp;IF(AND(ISNUMBER($F18),$G18&gt;$F18)," !",""),"")</f>
        <v/>
      </c>
      <c r="R18" s="22" t="str">
        <f aca="false">IF(AND(ISNUMBER($G18),$G18&gt;=R$4,$G18&lt;R$4+7),$E18&amp;IF(AND(ISNUMBER($F18),$G18&gt;$F18)," !",""),"")</f>
        <v/>
      </c>
      <c r="S18" s="22" t="str">
        <f aca="false">IF(AND(ISNUMBER($G18),$G18&gt;=S$4,$G18&lt;S$4+7),$E18&amp;IF(AND(ISNUMBER($F18),$G18&gt;$F18)," !",""),"")</f>
        <v/>
      </c>
    </row>
    <row r="19" customFormat="false" ht="15" hidden="false" customHeight="false" outlineLevel="0" collapsed="false">
      <c r="A19" s="18" t="n">
        <f aca="false">Рейтинг!A19</f>
        <v>15</v>
      </c>
      <c r="B19" s="18" t="str">
        <f aca="false">Рейтинг!B19</f>
        <v>3315</v>
      </c>
      <c r="C19" s="19" t="str">
        <f aca="false">Рейтинг!C19</f>
        <v>Восточное</v>
      </c>
      <c r="D19" s="20" t="n">
        <f aca="false">Рейтинг!Q19</f>
        <v>35</v>
      </c>
      <c r="E19" s="18" t="str">
        <f aca="false">IF(Рейтинг!Q19="","",IF(Рейтинг!Q19&gt;=Параметры!$C$10,Параметры!$B$10,IF(Рейтинг!Q19&gt;Параметры!$D$12,Параметры!$B$11,IF(Рейтинг!Q19&gt;=Параметры!$C$12,Параметры!$B$12,""))))</f>
        <v/>
      </c>
      <c r="F19" s="21" t="str">
        <f aca="false">Рейтинг!U19</f>
        <v/>
      </c>
      <c r="G19" s="21" t="str">
        <f aca="false">IF(Рейтинг!V19="","",Рейтинг!V19)</f>
        <v/>
      </c>
      <c r="H19" s="22" t="str">
        <f aca="false">IF(AND(ISNUMBER($G19),$G19&gt;=H$4,$G19&lt;H$4+7),$E19&amp;IF(AND(ISNUMBER($F19),$G19&gt;$F19)," !",""),"")</f>
        <v/>
      </c>
      <c r="I19" s="22" t="str">
        <f aca="false">IF(AND(ISNUMBER($G19),$G19&gt;=I$4,$G19&lt;I$4+7),$E19&amp;IF(AND(ISNUMBER($F19),$G19&gt;$F19)," !",""),"")</f>
        <v/>
      </c>
      <c r="J19" s="22" t="str">
        <f aca="false">IF(AND(ISNUMBER($G19),$G19&gt;=J$4,$G19&lt;J$4+7),$E19&amp;IF(AND(ISNUMBER($F19),$G19&gt;$F19)," !",""),"")</f>
        <v/>
      </c>
      <c r="K19" s="22" t="str">
        <f aca="false">IF(AND(ISNUMBER($G19),$G19&gt;=K$4,$G19&lt;K$4+7),$E19&amp;IF(AND(ISNUMBER($F19),$G19&gt;$F19)," !",""),"")</f>
        <v/>
      </c>
      <c r="L19" s="22" t="str">
        <f aca="false">IF(AND(ISNUMBER($G19),$G19&gt;=L$4,$G19&lt;L$4+7),$E19&amp;IF(AND(ISNUMBER($F19),$G19&gt;$F19)," !",""),"")</f>
        <v/>
      </c>
      <c r="M19" s="22" t="str">
        <f aca="false">IF(AND(ISNUMBER($G19),$G19&gt;=M$4,$G19&lt;M$4+7),$E19&amp;IF(AND(ISNUMBER($F19),$G19&gt;$F19)," !",""),"")</f>
        <v/>
      </c>
      <c r="N19" s="22" t="str">
        <f aca="false">IF(AND(ISNUMBER($G19),$G19&gt;=N$4,$G19&lt;N$4+7),$E19&amp;IF(AND(ISNUMBER($F19),$G19&gt;$F19)," !",""),"")</f>
        <v/>
      </c>
      <c r="O19" s="22" t="str">
        <f aca="false">IF(AND(ISNUMBER($G19),$G19&gt;=O$4,$G19&lt;O$4+7),$E19&amp;IF(AND(ISNUMBER($F19),$G19&gt;$F19)," !",""),"")</f>
        <v/>
      </c>
      <c r="P19" s="22" t="str">
        <f aca="false">IF(AND(ISNUMBER($G19),$G19&gt;=P$4,$G19&lt;P$4+7),$E19&amp;IF(AND(ISNUMBER($F19),$G19&gt;$F19)," !",""),"")</f>
        <v/>
      </c>
      <c r="Q19" s="22" t="str">
        <f aca="false">IF(AND(ISNUMBER($G19),$G19&gt;=Q$4,$G19&lt;Q$4+7),$E19&amp;IF(AND(ISNUMBER($F19),$G19&gt;$F19)," !",""),"")</f>
        <v/>
      </c>
      <c r="R19" s="22" t="str">
        <f aca="false">IF(AND(ISNUMBER($G19),$G19&gt;=R$4,$G19&lt;R$4+7),$E19&amp;IF(AND(ISNUMBER($F19),$G19&gt;$F19)," !",""),"")</f>
        <v/>
      </c>
      <c r="S19" s="22" t="str">
        <f aca="false">IF(AND(ISNUMBER($G19),$G19&gt;=S$4,$G19&lt;S$4+7),$E19&amp;IF(AND(ISNUMBER($F19),$G19&gt;$F19)," !",""),"")</f>
        <v/>
      </c>
    </row>
    <row r="20" customFormat="false" ht="15" hidden="false" customHeight="false" outlineLevel="0" collapsed="false">
      <c r="A20" s="18" t="n">
        <f aca="false">Рейтинг!A20</f>
        <v>16</v>
      </c>
      <c r="B20" s="18" t="str">
        <f aca="false">Рейтинг!B20</f>
        <v>1119</v>
      </c>
      <c r="C20" s="19" t="str">
        <f aca="false">Рейтинг!C20</f>
        <v>Северное</v>
      </c>
      <c r="D20" s="20" t="n">
        <f aca="false">Рейтинг!Q20</f>
        <v>33</v>
      </c>
      <c r="E20" s="18" t="str">
        <f aca="false">IF(Рейтинг!Q20="","",IF(Рейтинг!Q20&gt;=Параметры!$C$10,Параметры!$B$10,IF(Рейтинг!Q20&gt;Параметры!$D$12,Параметры!$B$11,IF(Рейтинг!Q20&gt;=Параметры!$C$12,Параметры!$B$12,""))))</f>
        <v/>
      </c>
      <c r="F20" s="21" t="str">
        <f aca="false">Рейтинг!U20</f>
        <v/>
      </c>
      <c r="G20" s="21" t="str">
        <f aca="false">IF(Рейтинг!V20="","",Рейтинг!V20)</f>
        <v/>
      </c>
      <c r="H20" s="22" t="str">
        <f aca="false">IF(AND(ISNUMBER($G20),$G20&gt;=H$4,$G20&lt;H$4+7),$E20&amp;IF(AND(ISNUMBER($F20),$G20&gt;$F20)," !",""),"")</f>
        <v/>
      </c>
      <c r="I20" s="22" t="str">
        <f aca="false">IF(AND(ISNUMBER($G20),$G20&gt;=I$4,$G20&lt;I$4+7),$E20&amp;IF(AND(ISNUMBER($F20),$G20&gt;$F20)," !",""),"")</f>
        <v/>
      </c>
      <c r="J20" s="22" t="str">
        <f aca="false">IF(AND(ISNUMBER($G20),$G20&gt;=J$4,$G20&lt;J$4+7),$E20&amp;IF(AND(ISNUMBER($F20),$G20&gt;$F20)," !",""),"")</f>
        <v/>
      </c>
      <c r="K20" s="22" t="str">
        <f aca="false">IF(AND(ISNUMBER($G20),$G20&gt;=K$4,$G20&lt;K$4+7),$E20&amp;IF(AND(ISNUMBER($F20),$G20&gt;$F20)," !",""),"")</f>
        <v/>
      </c>
      <c r="L20" s="22" t="str">
        <f aca="false">IF(AND(ISNUMBER($G20),$G20&gt;=L$4,$G20&lt;L$4+7),$E20&amp;IF(AND(ISNUMBER($F20),$G20&gt;$F20)," !",""),"")</f>
        <v/>
      </c>
      <c r="M20" s="22" t="str">
        <f aca="false">IF(AND(ISNUMBER($G20),$G20&gt;=M$4,$G20&lt;M$4+7),$E20&amp;IF(AND(ISNUMBER($F20),$G20&gt;$F20)," !",""),"")</f>
        <v/>
      </c>
      <c r="N20" s="22" t="str">
        <f aca="false">IF(AND(ISNUMBER($G20),$G20&gt;=N$4,$G20&lt;N$4+7),$E20&amp;IF(AND(ISNUMBER($F20),$G20&gt;$F20)," !",""),"")</f>
        <v/>
      </c>
      <c r="O20" s="22" t="str">
        <f aca="false">IF(AND(ISNUMBER($G20),$G20&gt;=O$4,$G20&lt;O$4+7),$E20&amp;IF(AND(ISNUMBER($F20),$G20&gt;$F20)," !",""),"")</f>
        <v/>
      </c>
      <c r="P20" s="22" t="str">
        <f aca="false">IF(AND(ISNUMBER($G20),$G20&gt;=P$4,$G20&lt;P$4+7),$E20&amp;IF(AND(ISNUMBER($F20),$G20&gt;$F20)," !",""),"")</f>
        <v/>
      </c>
      <c r="Q20" s="22" t="str">
        <f aca="false">IF(AND(ISNUMBER($G20),$G20&gt;=Q$4,$G20&lt;Q$4+7),$E20&amp;IF(AND(ISNUMBER($F20),$G20&gt;$F20)," !",""),"")</f>
        <v/>
      </c>
      <c r="R20" s="22" t="str">
        <f aca="false">IF(AND(ISNUMBER($G20),$G20&gt;=R$4,$G20&lt;R$4+7),$E20&amp;IF(AND(ISNUMBER($F20),$G20&gt;$F20)," !",""),"")</f>
        <v/>
      </c>
      <c r="S20" s="22" t="str">
        <f aca="false">IF(AND(ISNUMBER($G20),$G20&gt;=S$4,$G20&lt;S$4+7),$E20&amp;IF(AND(ISNUMBER($F20),$G20&gt;$F20)," !",""),"")</f>
        <v/>
      </c>
    </row>
    <row r="21" customFormat="false" ht="15" hidden="false" customHeight="false" outlineLevel="0" collapsed="false">
      <c r="A21" s="18" t="n">
        <f aca="false">Рейтинг!A21</f>
        <v>17</v>
      </c>
      <c r="B21" s="18" t="str">
        <f aca="false">Рейтинг!B21</f>
        <v>2244</v>
      </c>
      <c r="C21" s="19" t="str">
        <f aca="false">Рейтинг!C21</f>
        <v>Озёрное</v>
      </c>
      <c r="D21" s="20" t="n">
        <f aca="false">Рейтинг!Q21</f>
        <v>30</v>
      </c>
      <c r="E21" s="18" t="str">
        <f aca="false">IF(Рейтинг!Q21="","",IF(Рейтинг!Q21&gt;=Параметры!$C$10,Параметры!$B$10,IF(Рейтинг!Q21&gt;Параметры!$D$12,Параметры!$B$11,IF(Рейтинг!Q21&gt;=Параметры!$C$12,Параметры!$B$12,""))))</f>
        <v/>
      </c>
      <c r="F21" s="21" t="str">
        <f aca="false">Рейтинг!U21</f>
        <v/>
      </c>
      <c r="G21" s="21" t="str">
        <f aca="false">IF(Рейтинг!V21="","",Рейтинг!V21)</f>
        <v/>
      </c>
      <c r="H21" s="22" t="str">
        <f aca="false">IF(AND(ISNUMBER($G21),$G21&gt;=H$4,$G21&lt;H$4+7),$E21&amp;IF(AND(ISNUMBER($F21),$G21&gt;$F21)," !",""),"")</f>
        <v/>
      </c>
      <c r="I21" s="22" t="str">
        <f aca="false">IF(AND(ISNUMBER($G21),$G21&gt;=I$4,$G21&lt;I$4+7),$E21&amp;IF(AND(ISNUMBER($F21),$G21&gt;$F21)," !",""),"")</f>
        <v/>
      </c>
      <c r="J21" s="22" t="str">
        <f aca="false">IF(AND(ISNUMBER($G21),$G21&gt;=J$4,$G21&lt;J$4+7),$E21&amp;IF(AND(ISNUMBER($F21),$G21&gt;$F21)," !",""),"")</f>
        <v/>
      </c>
      <c r="K21" s="22" t="str">
        <f aca="false">IF(AND(ISNUMBER($G21),$G21&gt;=K$4,$G21&lt;K$4+7),$E21&amp;IF(AND(ISNUMBER($F21),$G21&gt;$F21)," !",""),"")</f>
        <v/>
      </c>
      <c r="L21" s="22" t="str">
        <f aca="false">IF(AND(ISNUMBER($G21),$G21&gt;=L$4,$G21&lt;L$4+7),$E21&amp;IF(AND(ISNUMBER($F21),$G21&gt;$F21)," !",""),"")</f>
        <v/>
      </c>
      <c r="M21" s="22" t="str">
        <f aca="false">IF(AND(ISNUMBER($G21),$G21&gt;=M$4,$G21&lt;M$4+7),$E21&amp;IF(AND(ISNUMBER($F21),$G21&gt;$F21)," !",""),"")</f>
        <v/>
      </c>
      <c r="N21" s="22" t="str">
        <f aca="false">IF(AND(ISNUMBER($G21),$G21&gt;=N$4,$G21&lt;N$4+7),$E21&amp;IF(AND(ISNUMBER($F21),$G21&gt;$F21)," !",""),"")</f>
        <v/>
      </c>
      <c r="O21" s="22" t="str">
        <f aca="false">IF(AND(ISNUMBER($G21),$G21&gt;=O$4,$G21&lt;O$4+7),$E21&amp;IF(AND(ISNUMBER($F21),$G21&gt;$F21)," !",""),"")</f>
        <v/>
      </c>
      <c r="P21" s="22" t="str">
        <f aca="false">IF(AND(ISNUMBER($G21),$G21&gt;=P$4,$G21&lt;P$4+7),$E21&amp;IF(AND(ISNUMBER($F21),$G21&gt;$F21)," !",""),"")</f>
        <v/>
      </c>
      <c r="Q21" s="22" t="str">
        <f aca="false">IF(AND(ISNUMBER($G21),$G21&gt;=Q$4,$G21&lt;Q$4+7),$E21&amp;IF(AND(ISNUMBER($F21),$G21&gt;$F21)," !",""),"")</f>
        <v/>
      </c>
      <c r="R21" s="22" t="str">
        <f aca="false">IF(AND(ISNUMBER($G21),$G21&gt;=R$4,$G21&lt;R$4+7),$E21&amp;IF(AND(ISNUMBER($F21),$G21&gt;$F21)," !",""),"")</f>
        <v/>
      </c>
      <c r="S21" s="22" t="str">
        <f aca="false">IF(AND(ISNUMBER($G21),$G21&gt;=S$4,$G21&lt;S$4+7),$E21&amp;IF(AND(ISNUMBER($F21),$G21&gt;$F21)," !",""),"")</f>
        <v/>
      </c>
    </row>
    <row r="22" customFormat="false" ht="15" hidden="false" customHeight="false" outlineLevel="0" collapsed="false">
      <c r="A22" s="18" t="n">
        <f aca="false">Рейтинг!A22</f>
        <v>18</v>
      </c>
      <c r="B22" s="18" t="str">
        <f aca="false">Рейтинг!B22</f>
        <v>3326</v>
      </c>
      <c r="C22" s="19" t="str">
        <f aca="false">Рейтинг!C22</f>
        <v>Восточное</v>
      </c>
      <c r="D22" s="20" t="n">
        <f aca="false">Рейтинг!Q22</f>
        <v>26</v>
      </c>
      <c r="E22" s="18" t="str">
        <f aca="false">IF(Рейтинг!Q22="","",IF(Рейтинг!Q22&gt;=Параметры!$C$10,Параметры!$B$10,IF(Рейтинг!Q22&gt;Параметры!$D$12,Параметры!$B$11,IF(Рейтинг!Q22&gt;=Параметры!$C$12,Параметры!$B$12,""))))</f>
        <v/>
      </c>
      <c r="F22" s="21" t="str">
        <f aca="false">Рейтинг!U22</f>
        <v/>
      </c>
      <c r="G22" s="21" t="str">
        <f aca="false">IF(Рейтинг!V22="","",Рейтинг!V22)</f>
        <v/>
      </c>
      <c r="H22" s="22" t="str">
        <f aca="false">IF(AND(ISNUMBER($G22),$G22&gt;=H$4,$G22&lt;H$4+7),$E22&amp;IF(AND(ISNUMBER($F22),$G22&gt;$F22)," !",""),"")</f>
        <v/>
      </c>
      <c r="I22" s="22" t="str">
        <f aca="false">IF(AND(ISNUMBER($G22),$G22&gt;=I$4,$G22&lt;I$4+7),$E22&amp;IF(AND(ISNUMBER($F22),$G22&gt;$F22)," !",""),"")</f>
        <v/>
      </c>
      <c r="J22" s="22" t="str">
        <f aca="false">IF(AND(ISNUMBER($G22),$G22&gt;=J$4,$G22&lt;J$4+7),$E22&amp;IF(AND(ISNUMBER($F22),$G22&gt;$F22)," !",""),"")</f>
        <v/>
      </c>
      <c r="K22" s="22" t="str">
        <f aca="false">IF(AND(ISNUMBER($G22),$G22&gt;=K$4,$G22&lt;K$4+7),$E22&amp;IF(AND(ISNUMBER($F22),$G22&gt;$F22)," !",""),"")</f>
        <v/>
      </c>
      <c r="L22" s="22" t="str">
        <f aca="false">IF(AND(ISNUMBER($G22),$G22&gt;=L$4,$G22&lt;L$4+7),$E22&amp;IF(AND(ISNUMBER($F22),$G22&gt;$F22)," !",""),"")</f>
        <v/>
      </c>
      <c r="M22" s="22" t="str">
        <f aca="false">IF(AND(ISNUMBER($G22),$G22&gt;=M$4,$G22&lt;M$4+7),$E22&amp;IF(AND(ISNUMBER($F22),$G22&gt;$F22)," !",""),"")</f>
        <v/>
      </c>
      <c r="N22" s="22" t="str">
        <f aca="false">IF(AND(ISNUMBER($G22),$G22&gt;=N$4,$G22&lt;N$4+7),$E22&amp;IF(AND(ISNUMBER($F22),$G22&gt;$F22)," !",""),"")</f>
        <v/>
      </c>
      <c r="O22" s="22" t="str">
        <f aca="false">IF(AND(ISNUMBER($G22),$G22&gt;=O$4,$G22&lt;O$4+7),$E22&amp;IF(AND(ISNUMBER($F22),$G22&gt;$F22)," !",""),"")</f>
        <v/>
      </c>
      <c r="P22" s="22" t="str">
        <f aca="false">IF(AND(ISNUMBER($G22),$G22&gt;=P$4,$G22&lt;P$4+7),$E22&amp;IF(AND(ISNUMBER($F22),$G22&gt;$F22)," !",""),"")</f>
        <v/>
      </c>
      <c r="Q22" s="22" t="str">
        <f aca="false">IF(AND(ISNUMBER($G22),$G22&gt;=Q$4,$G22&lt;Q$4+7),$E22&amp;IF(AND(ISNUMBER($F22),$G22&gt;$F22)," !",""),"")</f>
        <v/>
      </c>
      <c r="R22" s="22" t="str">
        <f aca="false">IF(AND(ISNUMBER($G22),$G22&gt;=R$4,$G22&lt;R$4+7),$E22&amp;IF(AND(ISNUMBER($F22),$G22&gt;$F22)," !",""),"")</f>
        <v/>
      </c>
      <c r="S22" s="22" t="str">
        <f aca="false">IF(AND(ISNUMBER($G22),$G22&gt;=S$4,$G22&lt;S$4+7),$E22&amp;IF(AND(ISNUMBER($F22),$G22&gt;$F22)," !",""),"")</f>
        <v/>
      </c>
    </row>
    <row r="23" customFormat="false" ht="15" hidden="false" customHeight="false" outlineLevel="0" collapsed="false">
      <c r="A23" s="18" t="n">
        <f aca="false">Рейтинг!A23</f>
        <v>19</v>
      </c>
      <c r="B23" s="18" t="str">
        <f aca="false">Рейтинг!B23</f>
        <v>1085</v>
      </c>
      <c r="C23" s="19" t="str">
        <f aca="false">Рейтинг!C23</f>
        <v>Северное</v>
      </c>
      <c r="D23" s="20" t="n">
        <f aca="false">Рейтинг!Q23</f>
        <v>24</v>
      </c>
      <c r="E23" s="18" t="str">
        <f aca="false">IF(Рейтинг!Q23="","",IF(Рейтинг!Q23&gt;=Параметры!$C$10,Параметры!$B$10,IF(Рейтинг!Q23&gt;Параметры!$D$12,Параметры!$B$11,IF(Рейтинг!Q23&gt;=Параметры!$C$12,Параметры!$B$12,""))))</f>
        <v/>
      </c>
      <c r="F23" s="21" t="str">
        <f aca="false">Рейтинг!U23</f>
        <v/>
      </c>
      <c r="G23" s="21" t="str">
        <f aca="false">IF(Рейтинг!V23="","",Рейтинг!V23)</f>
        <v/>
      </c>
      <c r="H23" s="22" t="str">
        <f aca="false">IF(AND(ISNUMBER($G23),$G23&gt;=H$4,$G23&lt;H$4+7),$E23&amp;IF(AND(ISNUMBER($F23),$G23&gt;$F23)," !",""),"")</f>
        <v/>
      </c>
      <c r="I23" s="22" t="str">
        <f aca="false">IF(AND(ISNUMBER($G23),$G23&gt;=I$4,$G23&lt;I$4+7),$E23&amp;IF(AND(ISNUMBER($F23),$G23&gt;$F23)," !",""),"")</f>
        <v/>
      </c>
      <c r="J23" s="22" t="str">
        <f aca="false">IF(AND(ISNUMBER($G23),$G23&gt;=J$4,$G23&lt;J$4+7),$E23&amp;IF(AND(ISNUMBER($F23),$G23&gt;$F23)," !",""),"")</f>
        <v/>
      </c>
      <c r="K23" s="22" t="str">
        <f aca="false">IF(AND(ISNUMBER($G23),$G23&gt;=K$4,$G23&lt;K$4+7),$E23&amp;IF(AND(ISNUMBER($F23),$G23&gt;$F23)," !",""),"")</f>
        <v/>
      </c>
      <c r="L23" s="22" t="str">
        <f aca="false">IF(AND(ISNUMBER($G23),$G23&gt;=L$4,$G23&lt;L$4+7),$E23&amp;IF(AND(ISNUMBER($F23),$G23&gt;$F23)," !",""),"")</f>
        <v/>
      </c>
      <c r="M23" s="22" t="str">
        <f aca="false">IF(AND(ISNUMBER($G23),$G23&gt;=M$4,$G23&lt;M$4+7),$E23&amp;IF(AND(ISNUMBER($F23),$G23&gt;$F23)," !",""),"")</f>
        <v/>
      </c>
      <c r="N23" s="22" t="str">
        <f aca="false">IF(AND(ISNUMBER($G23),$G23&gt;=N$4,$G23&lt;N$4+7),$E23&amp;IF(AND(ISNUMBER($F23),$G23&gt;$F23)," !",""),"")</f>
        <v/>
      </c>
      <c r="O23" s="22" t="str">
        <f aca="false">IF(AND(ISNUMBER($G23),$G23&gt;=O$4,$G23&lt;O$4+7),$E23&amp;IF(AND(ISNUMBER($F23),$G23&gt;$F23)," !",""),"")</f>
        <v/>
      </c>
      <c r="P23" s="22" t="str">
        <f aca="false">IF(AND(ISNUMBER($G23),$G23&gt;=P$4,$G23&lt;P$4+7),$E23&amp;IF(AND(ISNUMBER($F23),$G23&gt;$F23)," !",""),"")</f>
        <v/>
      </c>
      <c r="Q23" s="22" t="str">
        <f aca="false">IF(AND(ISNUMBER($G23),$G23&gt;=Q$4,$G23&lt;Q$4+7),$E23&amp;IF(AND(ISNUMBER($F23),$G23&gt;$F23)," !",""),"")</f>
        <v/>
      </c>
      <c r="R23" s="22" t="str">
        <f aca="false">IF(AND(ISNUMBER($G23),$G23&gt;=R$4,$G23&lt;R$4+7),$E23&amp;IF(AND(ISNUMBER($F23),$G23&gt;$F23)," !",""),"")</f>
        <v/>
      </c>
      <c r="S23" s="22" t="str">
        <f aca="false">IF(AND(ISNUMBER($G23),$G23&gt;=S$4,$G23&lt;S$4+7),$E23&amp;IF(AND(ISNUMBER($F23),$G23&gt;$F23)," !",""),"")</f>
        <v/>
      </c>
    </row>
    <row r="24" customFormat="false" ht="15" hidden="false" customHeight="false" outlineLevel="0" collapsed="false">
      <c r="A24" s="18" t="n">
        <f aca="false">Рейтинг!A24</f>
        <v>20</v>
      </c>
      <c r="B24" s="18" t="str">
        <f aca="false">Рейтинг!B24</f>
        <v>2202</v>
      </c>
      <c r="C24" s="19" t="str">
        <f aca="false">Рейтинг!C24</f>
        <v>Озёрное</v>
      </c>
      <c r="D24" s="20" t="n">
        <f aca="false">Рейтинг!Q24</f>
        <v>19</v>
      </c>
      <c r="E24" s="18" t="str">
        <f aca="false">IF(Рейтинг!Q24="","",IF(Рейтинг!Q24&gt;=Параметры!$C$10,Параметры!$B$10,IF(Рейтинг!Q24&gt;Параметры!$D$12,Параметры!$B$11,IF(Рейтинг!Q24&gt;=Параметры!$C$12,Параметры!$B$12,""))))</f>
        <v/>
      </c>
      <c r="F24" s="21" t="str">
        <f aca="false">Рейтинг!U24</f>
        <v/>
      </c>
      <c r="G24" s="21" t="str">
        <f aca="false">IF(Рейтинг!V24="","",Рейтинг!V24)</f>
        <v/>
      </c>
      <c r="H24" s="22" t="str">
        <f aca="false">IF(AND(ISNUMBER($G24),$G24&gt;=H$4,$G24&lt;H$4+7),$E24&amp;IF(AND(ISNUMBER($F24),$G24&gt;$F24)," !",""),"")</f>
        <v/>
      </c>
      <c r="I24" s="22" t="str">
        <f aca="false">IF(AND(ISNUMBER($G24),$G24&gt;=I$4,$G24&lt;I$4+7),$E24&amp;IF(AND(ISNUMBER($F24),$G24&gt;$F24)," !",""),"")</f>
        <v/>
      </c>
      <c r="J24" s="22" t="str">
        <f aca="false">IF(AND(ISNUMBER($G24),$G24&gt;=J$4,$G24&lt;J$4+7),$E24&amp;IF(AND(ISNUMBER($F24),$G24&gt;$F24)," !",""),"")</f>
        <v/>
      </c>
      <c r="K24" s="22" t="str">
        <f aca="false">IF(AND(ISNUMBER($G24),$G24&gt;=K$4,$G24&lt;K$4+7),$E24&amp;IF(AND(ISNUMBER($F24),$G24&gt;$F24)," !",""),"")</f>
        <v/>
      </c>
      <c r="L24" s="22" t="str">
        <f aca="false">IF(AND(ISNUMBER($G24),$G24&gt;=L$4,$G24&lt;L$4+7),$E24&amp;IF(AND(ISNUMBER($F24),$G24&gt;$F24)," !",""),"")</f>
        <v/>
      </c>
      <c r="M24" s="22" t="str">
        <f aca="false">IF(AND(ISNUMBER($G24),$G24&gt;=M$4,$G24&lt;M$4+7),$E24&amp;IF(AND(ISNUMBER($F24),$G24&gt;$F24)," !",""),"")</f>
        <v/>
      </c>
      <c r="N24" s="22" t="str">
        <f aca="false">IF(AND(ISNUMBER($G24),$G24&gt;=N$4,$G24&lt;N$4+7),$E24&amp;IF(AND(ISNUMBER($F24),$G24&gt;$F24)," !",""),"")</f>
        <v/>
      </c>
      <c r="O24" s="22" t="str">
        <f aca="false">IF(AND(ISNUMBER($G24),$G24&gt;=O$4,$G24&lt;O$4+7),$E24&amp;IF(AND(ISNUMBER($F24),$G24&gt;$F24)," !",""),"")</f>
        <v/>
      </c>
      <c r="P24" s="22" t="str">
        <f aca="false">IF(AND(ISNUMBER($G24),$G24&gt;=P$4,$G24&lt;P$4+7),$E24&amp;IF(AND(ISNUMBER($F24),$G24&gt;$F24)," !",""),"")</f>
        <v/>
      </c>
      <c r="Q24" s="22" t="str">
        <f aca="false">IF(AND(ISNUMBER($G24),$G24&gt;=Q$4,$G24&lt;Q$4+7),$E24&amp;IF(AND(ISNUMBER($F24),$G24&gt;$F24)," !",""),"")</f>
        <v/>
      </c>
      <c r="R24" s="22" t="str">
        <f aca="false">IF(AND(ISNUMBER($G24),$G24&gt;=R$4,$G24&lt;R$4+7),$E24&amp;IF(AND(ISNUMBER($F24),$G24&gt;$F24)," !",""),"")</f>
        <v/>
      </c>
      <c r="S24" s="22" t="str">
        <f aca="false">IF(AND(ISNUMBER($G24),$G24&gt;=S$4,$G24&lt;S$4+7),$E24&amp;IF(AND(ISNUMBER($F24),$G24&gt;$F24)," !",""),"")</f>
        <v/>
      </c>
    </row>
    <row r="25" customFormat="false" ht="15" hidden="false" customHeight="false" outlineLevel="0" collapsed="false">
      <c r="A25" s="18" t="n">
        <f aca="false">Рейтинг!A25</f>
        <v>21</v>
      </c>
      <c r="B25" s="18" t="str">
        <f aca="false">Рейтинг!B25</f>
        <v>3309</v>
      </c>
      <c r="C25" s="19" t="str">
        <f aca="false">Рейтинг!C25</f>
        <v>Восточное</v>
      </c>
      <c r="D25" s="20" t="n">
        <f aca="false">Рейтинг!Q25</f>
        <v>18</v>
      </c>
      <c r="E25" s="18" t="str">
        <f aca="false">IF(Рейтинг!Q25="","",IF(Рейтинг!Q25&gt;=Параметры!$C$10,Параметры!$B$10,IF(Рейтинг!Q25&gt;Параметры!$D$12,Параметры!$B$11,IF(Рейтинг!Q25&gt;=Параметры!$C$12,Параметры!$B$12,""))))</f>
        <v/>
      </c>
      <c r="F25" s="21" t="str">
        <f aca="false">Рейтинг!U25</f>
        <v/>
      </c>
      <c r="G25" s="21" t="str">
        <f aca="false">IF(Рейтинг!V25="","",Рейтинг!V25)</f>
        <v/>
      </c>
      <c r="H25" s="22" t="str">
        <f aca="false">IF(AND(ISNUMBER($G25),$G25&gt;=H$4,$G25&lt;H$4+7),$E25&amp;IF(AND(ISNUMBER($F25),$G25&gt;$F25)," !",""),"")</f>
        <v/>
      </c>
      <c r="I25" s="22" t="str">
        <f aca="false">IF(AND(ISNUMBER($G25),$G25&gt;=I$4,$G25&lt;I$4+7),$E25&amp;IF(AND(ISNUMBER($F25),$G25&gt;$F25)," !",""),"")</f>
        <v/>
      </c>
      <c r="J25" s="22" t="str">
        <f aca="false">IF(AND(ISNUMBER($G25),$G25&gt;=J$4,$G25&lt;J$4+7),$E25&amp;IF(AND(ISNUMBER($F25),$G25&gt;$F25)," !",""),"")</f>
        <v/>
      </c>
      <c r="K25" s="22" t="str">
        <f aca="false">IF(AND(ISNUMBER($G25),$G25&gt;=K$4,$G25&lt;K$4+7),$E25&amp;IF(AND(ISNUMBER($F25),$G25&gt;$F25)," !",""),"")</f>
        <v/>
      </c>
      <c r="L25" s="22" t="str">
        <f aca="false">IF(AND(ISNUMBER($G25),$G25&gt;=L$4,$G25&lt;L$4+7),$E25&amp;IF(AND(ISNUMBER($F25),$G25&gt;$F25)," !",""),"")</f>
        <v/>
      </c>
      <c r="M25" s="22" t="str">
        <f aca="false">IF(AND(ISNUMBER($G25),$G25&gt;=M$4,$G25&lt;M$4+7),$E25&amp;IF(AND(ISNUMBER($F25),$G25&gt;$F25)," !",""),"")</f>
        <v/>
      </c>
      <c r="N25" s="22" t="str">
        <f aca="false">IF(AND(ISNUMBER($G25),$G25&gt;=N$4,$G25&lt;N$4+7),$E25&amp;IF(AND(ISNUMBER($F25),$G25&gt;$F25)," !",""),"")</f>
        <v/>
      </c>
      <c r="O25" s="22" t="str">
        <f aca="false">IF(AND(ISNUMBER($G25),$G25&gt;=O$4,$G25&lt;O$4+7),$E25&amp;IF(AND(ISNUMBER($F25),$G25&gt;$F25)," !",""),"")</f>
        <v/>
      </c>
      <c r="P25" s="22" t="str">
        <f aca="false">IF(AND(ISNUMBER($G25),$G25&gt;=P$4,$G25&lt;P$4+7),$E25&amp;IF(AND(ISNUMBER($F25),$G25&gt;$F25)," !",""),"")</f>
        <v/>
      </c>
      <c r="Q25" s="22" t="str">
        <f aca="false">IF(AND(ISNUMBER($G25),$G25&gt;=Q$4,$G25&lt;Q$4+7),$E25&amp;IF(AND(ISNUMBER($F25),$G25&gt;$F25)," !",""),"")</f>
        <v/>
      </c>
      <c r="R25" s="22" t="str">
        <f aca="false">IF(AND(ISNUMBER($G25),$G25&gt;=R$4,$G25&lt;R$4+7),$E25&amp;IF(AND(ISNUMBER($F25),$G25&gt;$F25)," !",""),"")</f>
        <v/>
      </c>
      <c r="S25" s="22" t="str">
        <f aca="false">IF(AND(ISNUMBER($G25),$G25&gt;=S$4,$G25&lt;S$4+7),$E25&amp;IF(AND(ISNUMBER($F25),$G25&gt;$F25)," !",""),"")</f>
        <v/>
      </c>
    </row>
    <row r="26" customFormat="false" ht="15" hidden="false" customHeight="false" outlineLevel="0" collapsed="false">
      <c r="A26" s="18" t="n">
        <f aca="false">Рейтинг!A26</f>
        <v>22</v>
      </c>
      <c r="B26" s="18" t="str">
        <f aca="false">Рейтинг!B26</f>
        <v>1140</v>
      </c>
      <c r="C26" s="19" t="str">
        <f aca="false">Рейтинг!C26</f>
        <v>Северное</v>
      </c>
      <c r="D26" s="20" t="n">
        <f aca="false">Рейтинг!Q26</f>
        <v>14</v>
      </c>
      <c r="E26" s="18" t="str">
        <f aca="false">IF(Рейтинг!Q26="","",IF(Рейтинг!Q26&gt;=Параметры!$C$10,Параметры!$B$10,IF(Рейтинг!Q26&gt;Параметры!$D$12,Параметры!$B$11,IF(Рейтинг!Q26&gt;=Параметры!$C$12,Параметры!$B$12,""))))</f>
        <v/>
      </c>
      <c r="F26" s="21" t="str">
        <f aca="false">Рейтинг!U26</f>
        <v/>
      </c>
      <c r="G26" s="21" t="str">
        <f aca="false">IF(Рейтинг!V26="","",Рейтинг!V26)</f>
        <v/>
      </c>
      <c r="H26" s="22" t="str">
        <f aca="false">IF(AND(ISNUMBER($G26),$G26&gt;=H$4,$G26&lt;H$4+7),$E26&amp;IF(AND(ISNUMBER($F26),$G26&gt;$F26)," !",""),"")</f>
        <v/>
      </c>
      <c r="I26" s="22" t="str">
        <f aca="false">IF(AND(ISNUMBER($G26),$G26&gt;=I$4,$G26&lt;I$4+7),$E26&amp;IF(AND(ISNUMBER($F26),$G26&gt;$F26)," !",""),"")</f>
        <v/>
      </c>
      <c r="J26" s="22" t="str">
        <f aca="false">IF(AND(ISNUMBER($G26),$G26&gt;=J$4,$G26&lt;J$4+7),$E26&amp;IF(AND(ISNUMBER($F26),$G26&gt;$F26)," !",""),"")</f>
        <v/>
      </c>
      <c r="K26" s="22" t="str">
        <f aca="false">IF(AND(ISNUMBER($G26),$G26&gt;=K$4,$G26&lt;K$4+7),$E26&amp;IF(AND(ISNUMBER($F26),$G26&gt;$F26)," !",""),"")</f>
        <v/>
      </c>
      <c r="L26" s="22" t="str">
        <f aca="false">IF(AND(ISNUMBER($G26),$G26&gt;=L$4,$G26&lt;L$4+7),$E26&amp;IF(AND(ISNUMBER($F26),$G26&gt;$F26)," !",""),"")</f>
        <v/>
      </c>
      <c r="M26" s="22" t="str">
        <f aca="false">IF(AND(ISNUMBER($G26),$G26&gt;=M$4,$G26&lt;M$4+7),$E26&amp;IF(AND(ISNUMBER($F26),$G26&gt;$F26)," !",""),"")</f>
        <v/>
      </c>
      <c r="N26" s="22" t="str">
        <f aca="false">IF(AND(ISNUMBER($G26),$G26&gt;=N$4,$G26&lt;N$4+7),$E26&amp;IF(AND(ISNUMBER($F26),$G26&gt;$F26)," !",""),"")</f>
        <v/>
      </c>
      <c r="O26" s="22" t="str">
        <f aca="false">IF(AND(ISNUMBER($G26),$G26&gt;=O$4,$G26&lt;O$4+7),$E26&amp;IF(AND(ISNUMBER($F26),$G26&gt;$F26)," !",""),"")</f>
        <v/>
      </c>
      <c r="P26" s="22" t="str">
        <f aca="false">IF(AND(ISNUMBER($G26),$G26&gt;=P$4,$G26&lt;P$4+7),$E26&amp;IF(AND(ISNUMBER($F26),$G26&gt;$F26)," !",""),"")</f>
        <v/>
      </c>
      <c r="Q26" s="22" t="str">
        <f aca="false">IF(AND(ISNUMBER($G26),$G26&gt;=Q$4,$G26&lt;Q$4+7),$E26&amp;IF(AND(ISNUMBER($F26),$G26&gt;$F26)," !",""),"")</f>
        <v/>
      </c>
      <c r="R26" s="22" t="str">
        <f aca="false">IF(AND(ISNUMBER($G26),$G26&gt;=R$4,$G26&lt;R$4+7),$E26&amp;IF(AND(ISNUMBER($F26),$G26&gt;$F26)," !",""),"")</f>
        <v/>
      </c>
      <c r="S26" s="22" t="str">
        <f aca="false">IF(AND(ISNUMBER($G26),$G26&gt;=S$4,$G26&lt;S$4+7),$E26&amp;IF(AND(ISNUMBER($F26),$G26&gt;$F26)," !",""),"")</f>
        <v/>
      </c>
    </row>
    <row r="27" customFormat="false" ht="15" hidden="false" customHeight="false" outlineLevel="0" collapsed="false">
      <c r="A27" s="18" t="n">
        <f aca="false">Рейтинг!A27</f>
        <v>23</v>
      </c>
      <c r="B27" s="18" t="str">
        <f aca="false">Рейтинг!B27</f>
        <v>2236</v>
      </c>
      <c r="C27" s="19" t="str">
        <f aca="false">Рейтинг!C27</f>
        <v>Озёрное</v>
      </c>
      <c r="D27" s="20" t="n">
        <f aca="false">Рейтинг!Q27</f>
        <v>11</v>
      </c>
      <c r="E27" s="18" t="str">
        <f aca="false">IF(Рейтинг!Q27="","",IF(Рейтинг!Q27&gt;=Параметры!$C$10,Параметры!$B$10,IF(Рейтинг!Q27&gt;Параметры!$D$12,Параметры!$B$11,IF(Рейтинг!Q27&gt;=Параметры!$C$12,Параметры!$B$12,""))))</f>
        <v/>
      </c>
      <c r="F27" s="21" t="str">
        <f aca="false">Рейтинг!U27</f>
        <v/>
      </c>
      <c r="G27" s="21" t="str">
        <f aca="false">IF(Рейтинг!V27="","",Рейтинг!V27)</f>
        <v/>
      </c>
      <c r="H27" s="22" t="str">
        <f aca="false">IF(AND(ISNUMBER($G27),$G27&gt;=H$4,$G27&lt;H$4+7),$E27&amp;IF(AND(ISNUMBER($F27),$G27&gt;$F27)," !",""),"")</f>
        <v/>
      </c>
      <c r="I27" s="22" t="str">
        <f aca="false">IF(AND(ISNUMBER($G27),$G27&gt;=I$4,$G27&lt;I$4+7),$E27&amp;IF(AND(ISNUMBER($F27),$G27&gt;$F27)," !",""),"")</f>
        <v/>
      </c>
      <c r="J27" s="22" t="str">
        <f aca="false">IF(AND(ISNUMBER($G27),$G27&gt;=J$4,$G27&lt;J$4+7),$E27&amp;IF(AND(ISNUMBER($F27),$G27&gt;$F27)," !",""),"")</f>
        <v/>
      </c>
      <c r="K27" s="22" t="str">
        <f aca="false">IF(AND(ISNUMBER($G27),$G27&gt;=K$4,$G27&lt;K$4+7),$E27&amp;IF(AND(ISNUMBER($F27),$G27&gt;$F27)," !",""),"")</f>
        <v/>
      </c>
      <c r="L27" s="22" t="str">
        <f aca="false">IF(AND(ISNUMBER($G27),$G27&gt;=L$4,$G27&lt;L$4+7),$E27&amp;IF(AND(ISNUMBER($F27),$G27&gt;$F27)," !",""),"")</f>
        <v/>
      </c>
      <c r="M27" s="22" t="str">
        <f aca="false">IF(AND(ISNUMBER($G27),$G27&gt;=M$4,$G27&lt;M$4+7),$E27&amp;IF(AND(ISNUMBER($F27),$G27&gt;$F27)," !",""),"")</f>
        <v/>
      </c>
      <c r="N27" s="22" t="str">
        <f aca="false">IF(AND(ISNUMBER($G27),$G27&gt;=N$4,$G27&lt;N$4+7),$E27&amp;IF(AND(ISNUMBER($F27),$G27&gt;$F27)," !",""),"")</f>
        <v/>
      </c>
      <c r="O27" s="22" t="str">
        <f aca="false">IF(AND(ISNUMBER($G27),$G27&gt;=O$4,$G27&lt;O$4+7),$E27&amp;IF(AND(ISNUMBER($F27),$G27&gt;$F27)," !",""),"")</f>
        <v/>
      </c>
      <c r="P27" s="22" t="str">
        <f aca="false">IF(AND(ISNUMBER($G27),$G27&gt;=P$4,$G27&lt;P$4+7),$E27&amp;IF(AND(ISNUMBER($F27),$G27&gt;$F27)," !",""),"")</f>
        <v/>
      </c>
      <c r="Q27" s="22" t="str">
        <f aca="false">IF(AND(ISNUMBER($G27),$G27&gt;=Q$4,$G27&lt;Q$4+7),$E27&amp;IF(AND(ISNUMBER($F27),$G27&gt;$F27)," !",""),"")</f>
        <v/>
      </c>
      <c r="R27" s="22" t="str">
        <f aca="false">IF(AND(ISNUMBER($G27),$G27&gt;=R$4,$G27&lt;R$4+7),$E27&amp;IF(AND(ISNUMBER($F27),$G27&gt;$F27)," !",""),"")</f>
        <v/>
      </c>
      <c r="S27" s="22" t="str">
        <f aca="false">IF(AND(ISNUMBER($G27),$G27&gt;=S$4,$G27&lt;S$4+7),$E27&amp;IF(AND(ISNUMBER($F27),$G27&gt;$F27)," !",""),"")</f>
        <v/>
      </c>
    </row>
    <row r="28" customFormat="false" ht="15" hidden="false" customHeight="false" outlineLevel="0" collapsed="false">
      <c r="A28" s="18" t="n">
        <f aca="false">Рейтинг!A28</f>
        <v>24</v>
      </c>
      <c r="B28" s="18" t="str">
        <f aca="false">Рейтинг!B28</f>
        <v>3330</v>
      </c>
      <c r="C28" s="19" t="str">
        <f aca="false">Рейтинг!C28</f>
        <v>Восточное</v>
      </c>
      <c r="D28" s="20" t="n">
        <f aca="false">Рейтинг!Q28</f>
        <v>7</v>
      </c>
      <c r="E28" s="18" t="str">
        <f aca="false">IF(Рейтинг!Q28="","",IF(Рейтинг!Q28&gt;=Параметры!$C$10,Параметры!$B$10,IF(Рейтинг!Q28&gt;Параметры!$D$12,Параметры!$B$11,IF(Рейтинг!Q28&gt;=Параметры!$C$12,Параметры!$B$12,""))))</f>
        <v/>
      </c>
      <c r="F28" s="21" t="str">
        <f aca="false">Рейтинг!U28</f>
        <v/>
      </c>
      <c r="G28" s="21" t="str">
        <f aca="false">IF(Рейтинг!V28="","",Рейтинг!V28)</f>
        <v/>
      </c>
      <c r="H28" s="22" t="str">
        <f aca="false">IF(AND(ISNUMBER($G28),$G28&gt;=H$4,$G28&lt;H$4+7),$E28&amp;IF(AND(ISNUMBER($F28),$G28&gt;$F28)," !",""),"")</f>
        <v/>
      </c>
      <c r="I28" s="22" t="str">
        <f aca="false">IF(AND(ISNUMBER($G28),$G28&gt;=I$4,$G28&lt;I$4+7),$E28&amp;IF(AND(ISNUMBER($F28),$G28&gt;$F28)," !",""),"")</f>
        <v/>
      </c>
      <c r="J28" s="22" t="str">
        <f aca="false">IF(AND(ISNUMBER($G28),$G28&gt;=J$4,$G28&lt;J$4+7),$E28&amp;IF(AND(ISNUMBER($F28),$G28&gt;$F28)," !",""),"")</f>
        <v/>
      </c>
      <c r="K28" s="22" t="str">
        <f aca="false">IF(AND(ISNUMBER($G28),$G28&gt;=K$4,$G28&lt;K$4+7),$E28&amp;IF(AND(ISNUMBER($F28),$G28&gt;$F28)," !",""),"")</f>
        <v/>
      </c>
      <c r="L28" s="22" t="str">
        <f aca="false">IF(AND(ISNUMBER($G28),$G28&gt;=L$4,$G28&lt;L$4+7),$E28&amp;IF(AND(ISNUMBER($F28),$G28&gt;$F28)," !",""),"")</f>
        <v/>
      </c>
      <c r="M28" s="22" t="str">
        <f aca="false">IF(AND(ISNUMBER($G28),$G28&gt;=M$4,$G28&lt;M$4+7),$E28&amp;IF(AND(ISNUMBER($F28),$G28&gt;$F28)," !",""),"")</f>
        <v/>
      </c>
      <c r="N28" s="22" t="str">
        <f aca="false">IF(AND(ISNUMBER($G28),$G28&gt;=N$4,$G28&lt;N$4+7),$E28&amp;IF(AND(ISNUMBER($F28),$G28&gt;$F28)," !",""),"")</f>
        <v/>
      </c>
      <c r="O28" s="22" t="str">
        <f aca="false">IF(AND(ISNUMBER($G28),$G28&gt;=O$4,$G28&lt;O$4+7),$E28&amp;IF(AND(ISNUMBER($F28),$G28&gt;$F28)," !",""),"")</f>
        <v/>
      </c>
      <c r="P28" s="22" t="str">
        <f aca="false">IF(AND(ISNUMBER($G28),$G28&gt;=P$4,$G28&lt;P$4+7),$E28&amp;IF(AND(ISNUMBER($F28),$G28&gt;$F28)," !",""),"")</f>
        <v/>
      </c>
      <c r="Q28" s="22" t="str">
        <f aca="false">IF(AND(ISNUMBER($G28),$G28&gt;=Q$4,$G28&lt;Q$4+7),$E28&amp;IF(AND(ISNUMBER($F28),$G28&gt;$F28)," !",""),"")</f>
        <v/>
      </c>
      <c r="R28" s="22" t="str">
        <f aca="false">IF(AND(ISNUMBER($G28),$G28&gt;=R$4,$G28&lt;R$4+7),$E28&amp;IF(AND(ISNUMBER($F28),$G28&gt;$F28)," !",""),"")</f>
        <v/>
      </c>
      <c r="S28" s="22" t="str">
        <f aca="false">IF(AND(ISNUMBER($G28),$G28&gt;=S$4,$G28&lt;S$4+7),$E28&amp;IF(AND(ISNUMBER($F28),$G28&gt;$F28)," !",""),"")</f>
        <v/>
      </c>
    </row>
    <row r="30" customFormat="false" ht="15" hidden="false" customHeight="false" outlineLevel="0" collapsed="false">
      <c r="A30" s="23" t="s">
        <v>101</v>
      </c>
    </row>
    <row r="31" customFormat="false" ht="15" hidden="false" customHeight="false" outlineLevel="0" collapsed="false">
      <c r="B31" s="24" t="s">
        <v>102</v>
      </c>
      <c r="C31" s="25" t="s">
        <v>103</v>
      </c>
    </row>
    <row r="32" customFormat="false" ht="15" hidden="false" customHeight="false" outlineLevel="0" collapsed="false">
      <c r="B32" s="26" t="s">
        <v>104</v>
      </c>
      <c r="C32" s="25" t="s">
        <v>105</v>
      </c>
    </row>
    <row r="33" customFormat="false" ht="15" hidden="false" customHeight="false" outlineLevel="0" collapsed="false">
      <c r="B33" s="27" t="s">
        <v>106</v>
      </c>
      <c r="C33" s="25" t="s">
        <v>107</v>
      </c>
    </row>
    <row r="34" customFormat="false" ht="15" hidden="false" customHeight="false" outlineLevel="0" collapsed="false">
      <c r="B34" s="28" t="s">
        <v>108</v>
      </c>
      <c r="C34" s="25" t="s">
        <v>109</v>
      </c>
    </row>
  </sheetData>
  <conditionalFormatting sqref="H5:S28">
    <cfRule type="expression" priority="2" aboveAverage="0" equalAverage="0" bottom="0" percent="0" rank="0" text="" dxfId="23">
      <formula>AND(H5&lt;&gt;"",ISNUMBER(SEARCH("!",H5)))</formula>
    </cfRule>
    <cfRule type="expression" priority="3" aboveAverage="0" equalAverage="0" bottom="0" percent="0" rank="0" text="" dxfId="24">
      <formula>LEFT(H5,3)="ПКР"</formula>
    </cfRule>
    <cfRule type="expression" priority="4" aboveAverage="0" equalAverage="0" bottom="0" percent="0" rank="0" text="" dxfId="25">
      <formula>LEFT(H5,2)="РИ"</formula>
    </cfRule>
    <cfRule type="expression" priority="5" aboveAverage="0" equalAverage="0" bottom="0" percent="0" rank="0" text="" dxfId="26">
      <formula>LEFT(H5,2)="УД"</formula>
    </cfRule>
    <cfRule type="expression" priority="6" aboveAverage="0" equalAverage="0" bottom="0" percent="0" rank="0" text="" dxfId="27">
      <formula>AND($E5="ПКР",ISNUMBER($F5),H$4+6&gt;=Параметры!$C$4,H$4&lt;=$F5)</formula>
    </cfRule>
    <cfRule type="expression" priority="7" aboveAverage="0" equalAverage="0" bottom="0" percent="0" rank="0" text="" dxfId="28">
      <formula>AND($E5="РИ",ISNUMBER($F5),H$4+6&gt;=Параметры!$C$4,H$4&lt;=$F5)</formula>
    </cfRule>
    <cfRule type="expression" priority="8" aboveAverage="0" equalAverage="0" bottom="0" percent="0" rank="0" text="" dxfId="29">
      <formula>AND($E5="УД",ISNUMBER($F5),H$4+6&gt;=Параметры!$C$4,H$4&lt;=$F5)</formula>
    </cfRule>
  </conditionalFormatting>
  <conditionalFormatting sqref="A5:G28">
    <cfRule type="expression" priority="9" aboveAverage="0" equalAverage="0" bottom="0" percent="0" rank="0" text="" dxfId="30">
      <formula>AND(ISNUMBER($D5),$D5&lt;Параметры!$C$12)</formula>
    </cfRule>
  </conditionalFormatting>
  <conditionalFormatting sqref="H4:S4">
    <cfRule type="expression" priority="10" aboveAverage="0" equalAverage="0" bottom="0" percent="0" rank="0" text="" dxfId="31">
      <formula>AND(Параметры!$C$4&gt;=H$4,Параметры!$C$4&lt;H$4+7)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8"/>
    <pageSetUpPr fitToPage="tru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4" t="s">
        <v>24</v>
      </c>
      <c r="B4" s="4" t="s">
        <v>112</v>
      </c>
    </row>
    <row r="5" customFormat="false" ht="15" hidden="false" customHeight="false" outlineLevel="0" collapsed="false">
      <c r="A5" s="29" t="str">
        <f aca="false">Параметры!$A$10</f>
        <v>Плановый комплекс мероприятий по ремонту</v>
      </c>
      <c r="B5" s="30" t="n">
        <f aca="false">COUNTIF(Рейтинг!$R$5:$R$28,Параметры!$A$10)</f>
        <v>4</v>
      </c>
    </row>
    <row r="6" customFormat="false" ht="15" hidden="false" customHeight="false" outlineLevel="0" collapsed="false">
      <c r="A6" s="29" t="str">
        <f aca="false">Параметры!$A$11</f>
        <v>Решение инженера</v>
      </c>
      <c r="B6" s="30" t="n">
        <f aca="false">COUNTIF(Рейтинг!$R$5:$R$28,Параметры!$A$11)</f>
        <v>3</v>
      </c>
    </row>
    <row r="7" customFormat="false" ht="15" hidden="false" customHeight="false" outlineLevel="0" collapsed="false">
      <c r="A7" s="29" t="str">
        <f aca="false">Параметры!$A$12</f>
        <v>Ударная дозировка (УД)</v>
      </c>
      <c r="B7" s="30" t="n">
        <f aca="false">COUNTIF(Рейтинг!$R$5:$R$28,Параметры!$A$12)</f>
        <v>6</v>
      </c>
    </row>
    <row r="8" customFormat="false" ht="15" hidden="false" customHeight="false" outlineLevel="0" collapsed="false">
      <c r="A8" s="29" t="str">
        <f aca="false">Параметры!$A$13</f>
        <v>Мероприятия не требуются</v>
      </c>
      <c r="B8" s="30" t="n">
        <f aca="false">COUNTIF(Рейтинг!$R$5:$R$28,Параметры!$A$13)</f>
        <v>11</v>
      </c>
    </row>
    <row r="9" customFormat="false" ht="15" hidden="false" customHeight="false" outlineLevel="0" collapsed="false">
      <c r="A9" s="31" t="s">
        <v>113</v>
      </c>
      <c r="B9" s="30" t="n">
        <f aca="false">COUNT(Рейтинг!$Q$5:$Q$28)</f>
        <v>24</v>
      </c>
    </row>
    <row r="11" customFormat="false" ht="15" hidden="false" customHeight="false" outlineLevel="0" collapsed="false">
      <c r="A11" s="4" t="s">
        <v>114</v>
      </c>
      <c r="B11" s="4" t="s">
        <v>112</v>
      </c>
    </row>
    <row r="12" customFormat="false" ht="15" hidden="false" customHeight="false" outlineLevel="0" collapsed="false">
      <c r="A12" s="29" t="s">
        <v>115</v>
      </c>
      <c r="B12" s="30" t="n">
        <f aca="false">COUNTIF(Рейтинг!$S$5:$S$28,"Включить")</f>
        <v>4</v>
      </c>
    </row>
    <row r="13" customFormat="false" ht="15" hidden="false" customHeight="false" outlineLevel="0" collapsed="false">
      <c r="A13" s="29" t="s">
        <v>116</v>
      </c>
      <c r="B13" s="30" t="n">
        <f aca="false">COUNTIFS(Рейтинг!$S$5:$S$28,"Включить",Рейтинг!$T$5:$T$28,"&lt;&gt;Направлен в ЭРА")</f>
        <v>3</v>
      </c>
    </row>
    <row r="14" customFormat="false" ht="15" hidden="false" customHeight="false" outlineLevel="0" collapsed="false">
      <c r="A14" s="29" t="s">
        <v>117</v>
      </c>
      <c r="B14" s="30" t="n">
        <f aca="false">COUNTIF(Рейтинг!$W$5:$W$28,"Позже срока")</f>
        <v>2</v>
      </c>
    </row>
    <row r="15" customFormat="false" ht="15" hidden="false" customHeight="false" outlineLevel="0" collapsed="false">
      <c r="A15" s="29" t="s">
        <v>118</v>
      </c>
      <c r="B15" s="30" t="n">
        <f aca="false">COUNTIF(Рейтинг!$W$5:$W$28,"Не запланировано")</f>
        <v>1</v>
      </c>
    </row>
    <row r="17" customFormat="false" ht="15" hidden="false" customHeight="false" outlineLevel="0" collapsed="false">
      <c r="A17" s="4" t="s">
        <v>9</v>
      </c>
      <c r="B17" s="4" t="str">
        <f aca="false">Параметры!$B$10</f>
        <v>ПКР</v>
      </c>
      <c r="C17" s="4" t="str">
        <f aca="false">Параметры!$B$11</f>
        <v>РИ</v>
      </c>
      <c r="D17" s="4" t="str">
        <f aca="false">Параметры!$B$12</f>
        <v>УД</v>
      </c>
      <c r="E17" s="4" t="s">
        <v>119</v>
      </c>
    </row>
    <row r="18" customFormat="false" ht="15" hidden="false" customHeight="false" outlineLevel="0" collapsed="false">
      <c r="A18" s="29" t="s">
        <v>49</v>
      </c>
      <c r="B18" s="30" t="n">
        <f aca="false">COUNTIFS(Рейтинг!$C$5:$C$28,$A18,Рейтинг!$R$5:$R$28,Параметры!$A$10)</f>
        <v>1</v>
      </c>
      <c r="C18" s="30" t="n">
        <f aca="false">COUNTIFS(Рейтинг!$C$5:$C$28,$A18,Рейтинг!$R$5:$R$28,Параметры!$A$11)</f>
        <v>1</v>
      </c>
      <c r="D18" s="30" t="n">
        <f aca="false">COUNTIFS(Рейтинг!$C$5:$C$28,$A18,Рейтинг!$R$5:$R$28,Параметры!$A$12)</f>
        <v>2</v>
      </c>
      <c r="E18" s="30" t="n">
        <f aca="false">COUNTIF(Рейтинг!$C$5:$C$28,$A18)</f>
        <v>8</v>
      </c>
    </row>
    <row r="19" customFormat="false" ht="15" hidden="false" customHeight="false" outlineLevel="0" collapsed="false">
      <c r="A19" s="29" t="s">
        <v>32</v>
      </c>
      <c r="B19" s="30" t="n">
        <f aca="false">COUNTIFS(Рейтинг!$C$5:$C$28,$A19,Рейтинг!$R$5:$R$28,Параметры!$A$10)</f>
        <v>1</v>
      </c>
      <c r="C19" s="30" t="n">
        <f aca="false">COUNTIFS(Рейтинг!$C$5:$C$28,$A19,Рейтинг!$R$5:$R$28,Параметры!$A$11)</f>
        <v>1</v>
      </c>
      <c r="D19" s="30" t="n">
        <f aca="false">COUNTIFS(Рейтинг!$C$5:$C$28,$A19,Рейтинг!$R$5:$R$28,Параметры!$A$12)</f>
        <v>2</v>
      </c>
      <c r="E19" s="30" t="n">
        <f aca="false">COUNTIF(Рейтинг!$C$5:$C$28,$A19)</f>
        <v>8</v>
      </c>
    </row>
    <row r="20" customFormat="false" ht="15" hidden="false" customHeight="false" outlineLevel="0" collapsed="false">
      <c r="A20" s="29" t="s">
        <v>42</v>
      </c>
      <c r="B20" s="30" t="n">
        <f aca="false">COUNTIFS(Рейтинг!$C$5:$C$28,$A20,Рейтинг!$R$5:$R$28,Параметры!$A$10)</f>
        <v>2</v>
      </c>
      <c r="C20" s="30" t="n">
        <f aca="false">COUNTIFS(Рейтинг!$C$5:$C$28,$A20,Рейтинг!$R$5:$R$28,Параметры!$A$11)</f>
        <v>1</v>
      </c>
      <c r="D20" s="30" t="n">
        <f aca="false">COUNTIFS(Рейтинг!$C$5:$C$28,$A20,Рейтинг!$R$5:$R$28,Параметры!$A$12)</f>
        <v>2</v>
      </c>
      <c r="E20" s="30" t="n">
        <f aca="false">COUNTIF(Рейтинг!$C$5:$C$28,$A20)</f>
        <v>8</v>
      </c>
    </row>
    <row r="22" customFormat="false" ht="15" hidden="false" customHeight="false" outlineLevel="0" collapsed="false">
      <c r="A22" s="23" t="s">
        <v>120</v>
      </c>
    </row>
    <row r="23" customFormat="false" ht="15" hidden="false" customHeight="false" outlineLevel="0" collapsed="false">
      <c r="A23" s="4" t="s">
        <v>19</v>
      </c>
      <c r="B23" s="4" t="s">
        <v>121</v>
      </c>
      <c r="C23" s="4" t="s">
        <v>122</v>
      </c>
    </row>
    <row r="24" customFormat="false" ht="15" hidden="false" customHeight="false" outlineLevel="0" collapsed="false">
      <c r="A24" s="29" t="s">
        <v>38</v>
      </c>
      <c r="B24" s="30" t="n">
        <f aca="false">COUNTIFS(Рейтинг!$M$5:$M$28,$A24,Рейтинг!$Q$5:$Q$28,"&gt;"&amp;Параметры!$D$12)</f>
        <v>3</v>
      </c>
      <c r="C24" s="30" t="n">
        <f aca="false">COUNTIFS(Рейтинг!$M$5:$M$28,$A24,Рейтинг!$Q$5:$Q$28,"&lt;="&amp;Параметры!$D$12)</f>
        <v>0</v>
      </c>
    </row>
    <row r="25" customFormat="false" ht="15" hidden="false" customHeight="false" outlineLevel="0" collapsed="false">
      <c r="A25" s="29" t="s">
        <v>66</v>
      </c>
      <c r="B25" s="30" t="n">
        <f aca="false">COUNTIFS(Рейтинг!$M$5:$M$28,$A25,Рейтинг!$Q$5:$Q$28,"&gt;"&amp;Параметры!$D$12)</f>
        <v>0</v>
      </c>
      <c r="C25" s="30" t="n">
        <f aca="false">COUNTIFS(Рейтинг!$M$5:$M$28,$A25,Рейтинг!$Q$5:$Q$28,"&lt;="&amp;Параметры!$D$12)</f>
        <v>3</v>
      </c>
    </row>
    <row r="26" customFormat="false" ht="15" hidden="false" customHeight="false" outlineLevel="0" collapsed="false">
      <c r="A26" s="2" t="s">
        <v>123</v>
      </c>
    </row>
    <row r="28" customFormat="false" ht="15" hidden="false" customHeight="false" outlineLevel="0" collapsed="false">
      <c r="A28" s="4" t="s">
        <v>20</v>
      </c>
      <c r="B28" s="4" t="s">
        <v>112</v>
      </c>
    </row>
    <row r="29" customFormat="false" ht="15" hidden="false" customHeight="false" outlineLevel="0" collapsed="false">
      <c r="A29" s="29" t="s">
        <v>36</v>
      </c>
      <c r="B29" s="30" t="n">
        <f aca="false">COUNTIF(Рейтинг!$N$5:$N$28,$A29)</f>
        <v>4</v>
      </c>
    </row>
    <row r="30" customFormat="false" ht="15" hidden="false" customHeight="false" outlineLevel="0" collapsed="false">
      <c r="A30" s="29" t="s">
        <v>57</v>
      </c>
      <c r="B30" s="30" t="n">
        <f aca="false">COUNTIF(Рейтинг!$N$5:$N$28,$A30)</f>
        <v>7</v>
      </c>
    </row>
    <row r="31" customFormat="false" ht="15" hidden="false" customHeight="false" outlineLevel="0" collapsed="false">
      <c r="A31" s="29" t="s">
        <v>61</v>
      </c>
      <c r="B31" s="30" t="n">
        <f aca="false">COUNTIF(Рейтинг!$N$5:$N$28,$A31)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8"/>
    <pageSetUpPr fitToPage="tru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</row>
    <row r="5" customFormat="false" ht="15" hidden="false" customHeight="false" outlineLevel="0" collapsed="false">
      <c r="A5" s="29" t="s">
        <v>7</v>
      </c>
      <c r="B5" s="29" t="s">
        <v>132</v>
      </c>
      <c r="C5" s="29" t="s">
        <v>133</v>
      </c>
      <c r="D5" s="29" t="s">
        <v>134</v>
      </c>
      <c r="E5" s="29" t="s">
        <v>46</v>
      </c>
      <c r="F5" s="29" t="s">
        <v>135</v>
      </c>
    </row>
    <row r="6" customFormat="false" ht="15" hidden="false" customHeight="false" outlineLevel="0" collapsed="false">
      <c r="A6" s="29" t="s">
        <v>8</v>
      </c>
      <c r="B6" s="29" t="s">
        <v>136</v>
      </c>
      <c r="C6" s="29" t="s">
        <v>137</v>
      </c>
      <c r="D6" s="29" t="s">
        <v>138</v>
      </c>
      <c r="E6" s="29" t="s">
        <v>139</v>
      </c>
      <c r="F6" s="29" t="s">
        <v>135</v>
      </c>
    </row>
    <row r="7" customFormat="false" ht="15" hidden="false" customHeight="false" outlineLevel="0" collapsed="false">
      <c r="A7" s="29" t="s">
        <v>9</v>
      </c>
      <c r="B7" s="29" t="s">
        <v>140</v>
      </c>
      <c r="C7" s="29" t="s">
        <v>141</v>
      </c>
      <c r="D7" s="29" t="s">
        <v>138</v>
      </c>
      <c r="E7" s="29" t="s">
        <v>139</v>
      </c>
      <c r="F7" s="29" t="s">
        <v>135</v>
      </c>
    </row>
    <row r="8" customFormat="false" ht="15" hidden="false" customHeight="false" outlineLevel="0" collapsed="false">
      <c r="A8" s="29" t="s">
        <v>10</v>
      </c>
      <c r="B8" s="29" t="s">
        <v>142</v>
      </c>
      <c r="C8" s="29" t="s">
        <v>143</v>
      </c>
      <c r="D8" s="29" t="s">
        <v>138</v>
      </c>
      <c r="E8" s="29" t="s">
        <v>144</v>
      </c>
      <c r="F8" s="29" t="s">
        <v>145</v>
      </c>
    </row>
    <row r="9" customFormat="false" ht="15" hidden="false" customHeight="false" outlineLevel="0" collapsed="false">
      <c r="A9" s="29" t="s">
        <v>11</v>
      </c>
      <c r="B9" s="29" t="s">
        <v>146</v>
      </c>
      <c r="C9" s="29" t="s">
        <v>147</v>
      </c>
      <c r="D9" s="29" t="s">
        <v>138</v>
      </c>
      <c r="E9" s="29" t="s">
        <v>148</v>
      </c>
      <c r="F9" s="29" t="s">
        <v>149</v>
      </c>
    </row>
    <row r="10" customFormat="false" ht="15" hidden="false" customHeight="false" outlineLevel="0" collapsed="false">
      <c r="A10" s="29" t="s">
        <v>12</v>
      </c>
      <c r="B10" s="29" t="s">
        <v>150</v>
      </c>
      <c r="C10" s="29" t="s">
        <v>151</v>
      </c>
      <c r="D10" s="29" t="s">
        <v>138</v>
      </c>
      <c r="E10" s="29" t="s">
        <v>152</v>
      </c>
      <c r="F10" s="29" t="s">
        <v>145</v>
      </c>
    </row>
    <row r="11" customFormat="false" ht="15" hidden="false" customHeight="false" outlineLevel="0" collapsed="false">
      <c r="A11" s="29" t="s">
        <v>13</v>
      </c>
      <c r="B11" s="29" t="s">
        <v>153</v>
      </c>
      <c r="C11" s="29" t="s">
        <v>154</v>
      </c>
      <c r="D11" s="29" t="s">
        <v>138</v>
      </c>
      <c r="E11" s="29" t="s">
        <v>152</v>
      </c>
      <c r="F11" s="29" t="s">
        <v>155</v>
      </c>
    </row>
    <row r="12" customFormat="false" ht="15" hidden="false" customHeight="false" outlineLevel="0" collapsed="false">
      <c r="A12" s="29" t="s">
        <v>14</v>
      </c>
      <c r="B12" s="29" t="s">
        <v>156</v>
      </c>
      <c r="C12" s="29" t="s">
        <v>157</v>
      </c>
      <c r="D12" s="29" t="s">
        <v>138</v>
      </c>
      <c r="E12" s="29" t="s">
        <v>158</v>
      </c>
      <c r="F12" s="29" t="s">
        <v>145</v>
      </c>
    </row>
    <row r="13" customFormat="false" ht="15" hidden="false" customHeight="false" outlineLevel="0" collapsed="false">
      <c r="A13" s="29" t="s">
        <v>15</v>
      </c>
      <c r="B13" s="29" t="s">
        <v>159</v>
      </c>
      <c r="C13" s="29" t="s">
        <v>160</v>
      </c>
      <c r="D13" s="29" t="s">
        <v>138</v>
      </c>
      <c r="E13" s="29" t="s">
        <v>161</v>
      </c>
      <c r="F13" s="29" t="s">
        <v>145</v>
      </c>
    </row>
    <row r="14" customFormat="false" ht="15" hidden="false" customHeight="false" outlineLevel="0" collapsed="false">
      <c r="A14" s="29" t="s">
        <v>16</v>
      </c>
      <c r="B14" s="29" t="s">
        <v>162</v>
      </c>
      <c r="C14" s="29" t="s">
        <v>163</v>
      </c>
      <c r="D14" s="29" t="s">
        <v>138</v>
      </c>
      <c r="E14" s="29" t="s">
        <v>164</v>
      </c>
      <c r="F14" s="29" t="s">
        <v>145</v>
      </c>
    </row>
    <row r="15" customFormat="false" ht="15" hidden="false" customHeight="false" outlineLevel="0" collapsed="false">
      <c r="A15" s="29" t="s">
        <v>17</v>
      </c>
      <c r="B15" s="29" t="s">
        <v>165</v>
      </c>
      <c r="C15" s="29" t="s">
        <v>166</v>
      </c>
      <c r="D15" s="29" t="s">
        <v>138</v>
      </c>
      <c r="E15" s="29" t="s">
        <v>167</v>
      </c>
      <c r="F15" s="29" t="s">
        <v>155</v>
      </c>
    </row>
    <row r="16" customFormat="false" ht="15" hidden="false" customHeight="false" outlineLevel="0" collapsed="false">
      <c r="A16" s="29" t="s">
        <v>18</v>
      </c>
      <c r="B16" s="29" t="s">
        <v>168</v>
      </c>
      <c r="C16" s="29" t="s">
        <v>163</v>
      </c>
      <c r="D16" s="29" t="s">
        <v>138</v>
      </c>
      <c r="E16" s="29" t="s">
        <v>164</v>
      </c>
      <c r="F16" s="29" t="s">
        <v>145</v>
      </c>
    </row>
    <row r="17" customFormat="false" ht="15" hidden="false" customHeight="false" outlineLevel="0" collapsed="false">
      <c r="A17" s="29" t="s">
        <v>19</v>
      </c>
      <c r="B17" s="29" t="s">
        <v>169</v>
      </c>
      <c r="C17" s="29" t="s">
        <v>170</v>
      </c>
      <c r="D17" s="29" t="s">
        <v>138</v>
      </c>
      <c r="E17" s="29" t="s">
        <v>171</v>
      </c>
      <c r="F17" s="29" t="s">
        <v>155</v>
      </c>
    </row>
    <row r="18" customFormat="false" ht="23.85" hidden="false" customHeight="false" outlineLevel="0" collapsed="false">
      <c r="A18" s="29" t="s">
        <v>20</v>
      </c>
      <c r="B18" s="29" t="s">
        <v>172</v>
      </c>
      <c r="C18" s="29" t="s">
        <v>173</v>
      </c>
      <c r="D18" s="29" t="s">
        <v>138</v>
      </c>
      <c r="E18" s="29" t="s">
        <v>174</v>
      </c>
      <c r="F18" s="29" t="s">
        <v>135</v>
      </c>
    </row>
    <row r="19" customFormat="false" ht="15" hidden="false" customHeight="false" outlineLevel="0" collapsed="false">
      <c r="A19" s="29" t="s">
        <v>21</v>
      </c>
      <c r="B19" s="29" t="s">
        <v>175</v>
      </c>
      <c r="C19" s="29" t="s">
        <v>176</v>
      </c>
      <c r="D19" s="29" t="s">
        <v>177</v>
      </c>
      <c r="E19" s="29" t="s">
        <v>178</v>
      </c>
      <c r="F19" s="29" t="s">
        <v>179</v>
      </c>
    </row>
    <row r="20" customFormat="false" ht="15" hidden="false" customHeight="false" outlineLevel="0" collapsed="false">
      <c r="A20" s="29" t="s">
        <v>22</v>
      </c>
      <c r="B20" s="29" t="s">
        <v>180</v>
      </c>
      <c r="C20" s="29" t="s">
        <v>176</v>
      </c>
      <c r="D20" s="29" t="s">
        <v>177</v>
      </c>
      <c r="E20" s="29" t="s">
        <v>181</v>
      </c>
      <c r="F20" s="29" t="s">
        <v>179</v>
      </c>
    </row>
    <row r="21" customFormat="false" ht="15" hidden="false" customHeight="false" outlineLevel="0" collapsed="false">
      <c r="A21" s="29" t="s">
        <v>23</v>
      </c>
      <c r="B21" s="29" t="s">
        <v>182</v>
      </c>
      <c r="C21" s="29" t="s">
        <v>183</v>
      </c>
      <c r="D21" s="29" t="s">
        <v>134</v>
      </c>
      <c r="E21" s="29" t="s">
        <v>46</v>
      </c>
      <c r="F21" s="29" t="s">
        <v>135</v>
      </c>
    </row>
    <row r="22" customFormat="false" ht="46.25" hidden="false" customHeight="false" outlineLevel="0" collapsed="false">
      <c r="A22" s="29" t="s">
        <v>24</v>
      </c>
      <c r="B22" s="29" t="s">
        <v>184</v>
      </c>
      <c r="C22" s="29" t="s">
        <v>185</v>
      </c>
      <c r="D22" s="29" t="s">
        <v>186</v>
      </c>
      <c r="E22" s="29" t="s">
        <v>46</v>
      </c>
      <c r="F22" s="29" t="s">
        <v>135</v>
      </c>
    </row>
    <row r="23" customFormat="false" ht="15" hidden="false" customHeight="false" outlineLevel="0" collapsed="false">
      <c r="A23" s="29" t="s">
        <v>25</v>
      </c>
      <c r="B23" s="29" t="s">
        <v>187</v>
      </c>
      <c r="C23" s="29" t="s">
        <v>188</v>
      </c>
      <c r="D23" s="29" t="s">
        <v>134</v>
      </c>
      <c r="E23" s="29" t="s">
        <v>46</v>
      </c>
      <c r="F23" s="29" t="s">
        <v>135</v>
      </c>
    </row>
    <row r="24" customFormat="false" ht="23.85" hidden="false" customHeight="false" outlineLevel="0" collapsed="false">
      <c r="A24" s="29" t="s">
        <v>26</v>
      </c>
      <c r="B24" s="29" t="s">
        <v>189</v>
      </c>
      <c r="C24" s="29" t="s">
        <v>190</v>
      </c>
      <c r="D24" s="29" t="s">
        <v>138</v>
      </c>
      <c r="E24" s="29" t="s">
        <v>191</v>
      </c>
      <c r="F24" s="29" t="s">
        <v>135</v>
      </c>
    </row>
    <row r="25" customFormat="false" ht="15" hidden="false" customHeight="false" outlineLevel="0" collapsed="false">
      <c r="A25" s="29" t="s">
        <v>27</v>
      </c>
      <c r="B25" s="29" t="s">
        <v>192</v>
      </c>
      <c r="C25" s="29" t="s">
        <v>193</v>
      </c>
      <c r="D25" s="29" t="s">
        <v>134</v>
      </c>
      <c r="E25" s="29" t="s">
        <v>46</v>
      </c>
      <c r="F25" s="29" t="s">
        <v>194</v>
      </c>
    </row>
    <row r="26" customFormat="false" ht="15" hidden="false" customHeight="false" outlineLevel="0" collapsed="false">
      <c r="A26" s="29" t="s">
        <v>28</v>
      </c>
      <c r="B26" s="29" t="s">
        <v>195</v>
      </c>
      <c r="C26" s="29" t="s">
        <v>193</v>
      </c>
      <c r="D26" s="29" t="s">
        <v>138</v>
      </c>
      <c r="E26" s="29" t="s">
        <v>196</v>
      </c>
      <c r="F26" s="29" t="s">
        <v>194</v>
      </c>
    </row>
    <row r="27" customFormat="false" ht="15" hidden="false" customHeight="false" outlineLevel="0" collapsed="false">
      <c r="A27" s="29" t="s">
        <v>29</v>
      </c>
      <c r="B27" s="29" t="s">
        <v>197</v>
      </c>
      <c r="C27" s="29" t="s">
        <v>198</v>
      </c>
      <c r="D27" s="29" t="s">
        <v>134</v>
      </c>
      <c r="E27" s="29" t="s">
        <v>46</v>
      </c>
      <c r="F27" s="29" t="s">
        <v>135</v>
      </c>
    </row>
    <row r="28" customFormat="false" ht="15" hidden="false" customHeight="false" outlineLevel="0" collapsed="false">
      <c r="A28" s="29" t="s">
        <v>30</v>
      </c>
      <c r="B28" s="29" t="s">
        <v>199</v>
      </c>
      <c r="C28" s="29" t="s">
        <v>141</v>
      </c>
      <c r="D28" s="29" t="s">
        <v>138</v>
      </c>
      <c r="E28" s="29" t="s">
        <v>200</v>
      </c>
      <c r="F28" s="29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3B8"/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25" t="s">
        <v>203</v>
      </c>
      <c r="C4" s="32" t="n">
        <v>46309</v>
      </c>
      <c r="D4" s="2" t="s">
        <v>204</v>
      </c>
    </row>
    <row r="5" customFormat="false" ht="15" hidden="false" customHeight="false" outlineLevel="0" collapsed="false">
      <c r="A5" s="25" t="s">
        <v>205</v>
      </c>
      <c r="C5" s="33" t="s">
        <v>206</v>
      </c>
      <c r="D5" s="2" t="s">
        <v>207</v>
      </c>
    </row>
    <row r="6" customFormat="false" ht="15" hidden="false" customHeight="false" outlineLevel="0" collapsed="false">
      <c r="A6" s="25" t="s">
        <v>208</v>
      </c>
      <c r="C6" s="32" t="n">
        <v>46307</v>
      </c>
      <c r="D6" s="2" t="s">
        <v>209</v>
      </c>
    </row>
    <row r="8" customFormat="false" ht="15" hidden="false" customHeight="false" outlineLevel="0" collapsed="false">
      <c r="A8" s="23" t="s">
        <v>210</v>
      </c>
    </row>
    <row r="9" customFormat="false" ht="15" hidden="false" customHeight="false" outlineLevel="0" collapsed="false">
      <c r="A9" s="4" t="s">
        <v>24</v>
      </c>
      <c r="B9" s="4" t="s">
        <v>99</v>
      </c>
      <c r="C9" s="4" t="s">
        <v>211</v>
      </c>
      <c r="D9" s="4" t="s">
        <v>212</v>
      </c>
      <c r="E9" s="4" t="s">
        <v>213</v>
      </c>
      <c r="F9" s="4" t="s">
        <v>214</v>
      </c>
    </row>
    <row r="10" customFormat="false" ht="42" hidden="false" customHeight="true" outlineLevel="0" collapsed="false">
      <c r="A10" s="29" t="s">
        <v>215</v>
      </c>
      <c r="B10" s="34" t="s">
        <v>102</v>
      </c>
      <c r="C10" s="6" t="n">
        <v>80</v>
      </c>
      <c r="D10" s="34" t="n">
        <f aca="false">100</f>
        <v>100</v>
      </c>
      <c r="E10" s="6" t="n">
        <v>14</v>
      </c>
      <c r="F10" s="29" t="s">
        <v>216</v>
      </c>
    </row>
    <row r="11" customFormat="false" ht="23.85" hidden="false" customHeight="false" outlineLevel="0" collapsed="false">
      <c r="A11" s="29" t="s">
        <v>217</v>
      </c>
      <c r="B11" s="34" t="s">
        <v>104</v>
      </c>
      <c r="C11" s="34" t="n">
        <f aca="false">D12+1</f>
        <v>61</v>
      </c>
      <c r="D11" s="34" t="n">
        <f aca="false">C10-1</f>
        <v>79</v>
      </c>
      <c r="E11" s="6" t="n">
        <v>30</v>
      </c>
      <c r="F11" s="29" t="s">
        <v>218</v>
      </c>
    </row>
    <row r="12" customFormat="false" ht="30" hidden="false" customHeight="true" outlineLevel="0" collapsed="false">
      <c r="A12" s="29" t="s">
        <v>219</v>
      </c>
      <c r="B12" s="34" t="s">
        <v>106</v>
      </c>
      <c r="C12" s="6" t="n">
        <v>40</v>
      </c>
      <c r="D12" s="6" t="n">
        <v>60</v>
      </c>
      <c r="E12" s="6" t="n">
        <v>45</v>
      </c>
      <c r="F12" s="29" t="s">
        <v>220</v>
      </c>
    </row>
    <row r="13" customFormat="false" ht="15" hidden="false" customHeight="false" outlineLevel="0" collapsed="false">
      <c r="A13" s="29" t="s">
        <v>221</v>
      </c>
      <c r="B13" s="34" t="s">
        <v>46</v>
      </c>
      <c r="C13" s="6" t="n">
        <v>0</v>
      </c>
      <c r="D13" s="34" t="n">
        <f aca="false">C12-1</f>
        <v>39</v>
      </c>
      <c r="E13" s="34"/>
      <c r="F13" s="29" t="s">
        <v>222</v>
      </c>
    </row>
    <row r="15" customFormat="false" ht="15" hidden="false" customHeight="false" outlineLevel="0" collapsed="false">
      <c r="A15" s="2" t="s">
        <v>223</v>
      </c>
    </row>
  </sheetData>
  <dataValidations count="1">
    <dataValidation allowBlank="false" errorStyle="stop" operator="between" showDropDown="false" showErrorMessage="false" showInputMessage="false" sqref="C5" type="list">
      <formula1>"Максимум,Среднее"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2026-10-14T14:23:15Z</dcterms:created>
  <dc:creator>openpyxl</dc:creator>
  <dc:description/>
  <dc:language>en-US</dc:language>
  <cp:lastModifiedBy/>
  <dcterms:modified xsi:type="dcterms:W3CDTF">2026-10-14T14:23:15Z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